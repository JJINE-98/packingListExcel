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24226"/>
  <xr:revisionPtr revIDLastSave="0" documentId="8_{C59545FA-20DB-4691-996F-5601EBA5AB32}" xr6:coauthVersionLast="47" xr6:coauthVersionMax="47" xr10:uidLastSave="{00000000-0000-0000-0000-000000000000}"/>
  <bookViews>
    <workbookView xWindow="1470" yWindow="1035" windowWidth="27435" windowHeight="16440" xr2:uid="{00000000-000D-0000-FFFF-FFFF00000000}"/>
  </bookViews>
  <sheets>
    <sheet name="출고요청서" sheetId="1" r:id="rId1"/>
    <sheet name="가락" sheetId="2" r:id="rId2"/>
    <sheet name="Sheet1" sheetId="3" r:id="rId3"/>
  </sheets>
  <definedNames>
    <definedName name="_xlnm.Print_Area" localSheetId="0">출고요청서!$A$1:$BY$59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31" i="1" l="1"/>
  <c r="AP30" i="1"/>
  <c r="AP32" i="1"/>
  <c r="AS30" i="1"/>
  <c r="AS31" i="1"/>
  <c r="AS32" i="1"/>
  <c r="BQ31" i="1"/>
  <c r="BP31" i="1"/>
  <c r="BO31" i="1"/>
  <c r="BN31" i="1"/>
  <c r="BM31" i="1"/>
  <c r="BQ30" i="1"/>
  <c r="BQ32" i="1"/>
  <c r="BP30" i="1"/>
  <c r="BP32" i="1"/>
  <c r="BO30" i="1"/>
  <c r="BO32" i="1"/>
  <c r="BN30" i="1"/>
  <c r="BN32" i="1"/>
  <c r="BM30" i="1"/>
  <c r="BM32" i="1"/>
  <c r="BL31" i="1"/>
  <c r="BK31" i="1"/>
  <c r="BJ31" i="1"/>
  <c r="BI31" i="1"/>
  <c r="BH31" i="1"/>
  <c r="BL30" i="1"/>
  <c r="BL32" i="1"/>
  <c r="BK30" i="1"/>
  <c r="BK32" i="1"/>
  <c r="BJ30" i="1"/>
  <c r="BJ32" i="1"/>
  <c r="BI30" i="1"/>
  <c r="BI32" i="1"/>
  <c r="BH30" i="1"/>
  <c r="BH32" i="1"/>
  <c r="BG31" i="1"/>
  <c r="BF31" i="1"/>
  <c r="BE31" i="1"/>
  <c r="BD31" i="1"/>
  <c r="BC31" i="1"/>
  <c r="BG30" i="1"/>
  <c r="BG32" i="1"/>
  <c r="BF30" i="1"/>
  <c r="BF32" i="1"/>
  <c r="BE30" i="1"/>
  <c r="BE32" i="1"/>
  <c r="BD30" i="1"/>
  <c r="BD32" i="1"/>
  <c r="BC30" i="1"/>
  <c r="BC32" i="1"/>
  <c r="BB31" i="1"/>
  <c r="BA31" i="1"/>
  <c r="AZ31" i="1"/>
  <c r="AY31" i="1"/>
  <c r="AX31" i="1"/>
  <c r="BB30" i="1"/>
  <c r="BB32" i="1"/>
  <c r="BA30" i="1"/>
  <c r="BA32" i="1"/>
  <c r="AZ30" i="1"/>
  <c r="AZ32" i="1"/>
  <c r="AY30" i="1"/>
  <c r="AY32" i="1"/>
  <c r="AX30" i="1"/>
  <c r="AX32" i="1"/>
  <c r="AW31" i="1"/>
  <c r="AV31" i="1"/>
  <c r="AU31" i="1"/>
  <c r="AT31" i="1"/>
  <c r="AW30" i="1"/>
  <c r="AW32" i="1"/>
  <c r="AV30" i="1"/>
  <c r="AV32" i="1"/>
  <c r="AU30" i="1"/>
  <c r="AU32" i="1"/>
  <c r="AT30" i="1"/>
  <c r="AT32" i="1"/>
  <c r="AR31" i="1"/>
  <c r="AQ31" i="1"/>
  <c r="AO31" i="1"/>
  <c r="AN31" i="1"/>
  <c r="AM31" i="1"/>
  <c r="AR30" i="1"/>
  <c r="AR32" i="1"/>
  <c r="AQ30" i="1"/>
  <c r="AQ32" i="1"/>
  <c r="AO30" i="1"/>
  <c r="AO32" i="1"/>
  <c r="AN30" i="1"/>
  <c r="AN32" i="1"/>
  <c r="AM30" i="1"/>
  <c r="AM32" i="1"/>
  <c r="BS28" i="1"/>
  <c r="BS27" i="1"/>
  <c r="BS26" i="1"/>
  <c r="AL31" i="1"/>
  <c r="AK31" i="1"/>
  <c r="AJ31" i="1"/>
  <c r="AI31" i="1"/>
  <c r="AH31" i="1"/>
  <c r="AL30" i="1"/>
  <c r="AL32" i="1"/>
  <c r="AK30" i="1"/>
  <c r="AK32" i="1"/>
  <c r="AJ30" i="1"/>
  <c r="AJ32" i="1"/>
  <c r="AI30" i="1"/>
  <c r="AI32" i="1"/>
  <c r="AH30" i="1"/>
  <c r="AH32" i="1"/>
  <c r="AG31" i="1"/>
  <c r="AF31" i="1"/>
  <c r="AE31" i="1"/>
  <c r="AD31" i="1"/>
  <c r="AC31" i="1"/>
  <c r="AG30" i="1"/>
  <c r="AG32" i="1"/>
  <c r="AF30" i="1"/>
  <c r="AF32" i="1"/>
  <c r="AE30" i="1"/>
  <c r="AE32" i="1"/>
  <c r="AD30" i="1"/>
  <c r="AD32" i="1"/>
  <c r="AC30" i="1"/>
  <c r="AC32" i="1"/>
  <c r="AB31" i="1"/>
  <c r="AA31" i="1"/>
  <c r="Z31" i="1"/>
  <c r="Y31" i="1"/>
  <c r="X31" i="1"/>
  <c r="AB30" i="1"/>
  <c r="AB32" i="1"/>
  <c r="AA30" i="1"/>
  <c r="AA32" i="1"/>
  <c r="Z30" i="1"/>
  <c r="Z32" i="1"/>
  <c r="Y30" i="1"/>
  <c r="Y32" i="1"/>
  <c r="X30" i="1"/>
  <c r="X32" i="1"/>
  <c r="BR1" i="1"/>
  <c r="BU1" i="1"/>
  <c r="BS2" i="1"/>
  <c r="BS9" i="1"/>
  <c r="BS10" i="1"/>
  <c r="BS17" i="1"/>
  <c r="BS18" i="1"/>
  <c r="BS19" i="1"/>
  <c r="BS20" i="1"/>
  <c r="BS21" i="1"/>
  <c r="BS22" i="1"/>
  <c r="BS23" i="1"/>
  <c r="BS24" i="1"/>
  <c r="BS25" i="1"/>
  <c r="BS29" i="1"/>
  <c r="BR30" i="1"/>
  <c r="BR32" i="1"/>
  <c r="BS33" i="1"/>
  <c r="BU33" i="1"/>
  <c r="BV33" i="1"/>
  <c r="BS34" i="1"/>
  <c r="BS35" i="1"/>
  <c r="BS36" i="1"/>
  <c r="BU36" i="1"/>
  <c r="BV36" i="1"/>
  <c r="BS37" i="1"/>
  <c r="BU37" i="1"/>
  <c r="BV37" i="1"/>
  <c r="BS38" i="1"/>
  <c r="BU38" i="1"/>
  <c r="BV38" i="1"/>
  <c r="BS39" i="1"/>
  <c r="BU39" i="1"/>
  <c r="BV39" i="1"/>
  <c r="BS40" i="1"/>
  <c r="BS41" i="1"/>
  <c r="BS42" i="1"/>
  <c r="BS43" i="1"/>
  <c r="BU43" i="1"/>
  <c r="BV43" i="1"/>
  <c r="BS44" i="1"/>
  <c r="BU44" i="1"/>
  <c r="BV44" i="1"/>
  <c r="BS45" i="1"/>
  <c r="BU45" i="1"/>
  <c r="BV45" i="1"/>
  <c r="BS46" i="1"/>
  <c r="BU46" i="1"/>
  <c r="BV46" i="1"/>
  <c r="BS47" i="1"/>
  <c r="BU47" i="1"/>
  <c r="BV47" i="1"/>
  <c r="BS48" i="1"/>
  <c r="BU48" i="1"/>
  <c r="BV48" i="1"/>
  <c r="BS49" i="1"/>
  <c r="BU49" i="1"/>
  <c r="BV49" i="1"/>
  <c r="BS50" i="1"/>
  <c r="BU50" i="1"/>
  <c r="BV50" i="1"/>
  <c r="BS51" i="1"/>
  <c r="BU51" i="1"/>
  <c r="BV51" i="1"/>
  <c r="BS52" i="1"/>
  <c r="BU52" i="1"/>
  <c r="BV52" i="1"/>
  <c r="BS53" i="1"/>
  <c r="BS54" i="1"/>
  <c r="BU54" i="1"/>
  <c r="BV54" i="1"/>
  <c r="BS55" i="1"/>
  <c r="BS56" i="1"/>
  <c r="BS57" i="1"/>
  <c r="BR58" i="1"/>
  <c r="BS58" i="1"/>
  <c r="BR59" i="1"/>
  <c r="BR61" i="1"/>
  <c r="BR63" i="1"/>
  <c r="BR5" i="1"/>
  <c r="W31" i="1"/>
  <c r="V31" i="1"/>
  <c r="U31" i="1"/>
  <c r="T31" i="1"/>
  <c r="S31" i="1"/>
  <c r="W30" i="1"/>
  <c r="W32" i="1"/>
  <c r="V30" i="1"/>
  <c r="V32" i="1"/>
  <c r="U30" i="1"/>
  <c r="U32" i="1"/>
  <c r="T30" i="1"/>
  <c r="T32" i="1"/>
  <c r="S30" i="1"/>
  <c r="S32" i="1"/>
  <c r="R31" i="1"/>
  <c r="Q31" i="1"/>
  <c r="P31" i="1"/>
  <c r="O31" i="1"/>
  <c r="N31" i="1"/>
  <c r="R30" i="1"/>
  <c r="R32" i="1"/>
  <c r="Q30" i="1"/>
  <c r="Q32" i="1"/>
  <c r="P30" i="1"/>
  <c r="P32" i="1"/>
  <c r="O30" i="1"/>
  <c r="O32" i="1"/>
  <c r="N30" i="1"/>
  <c r="N32" i="1"/>
  <c r="I31" i="1"/>
  <c r="I30" i="1"/>
  <c r="I32" i="1"/>
  <c r="J30" i="1"/>
  <c r="K30" i="1"/>
  <c r="L30" i="1"/>
  <c r="M30" i="1"/>
  <c r="J31" i="1"/>
  <c r="K31" i="1"/>
  <c r="L31" i="1"/>
  <c r="M31" i="1"/>
  <c r="J32" i="1"/>
  <c r="K32" i="1"/>
  <c r="L32" i="1"/>
  <c r="M32" i="1"/>
  <c r="E30" i="1"/>
  <c r="E59" i="1"/>
  <c r="F30" i="1"/>
  <c r="F59" i="1"/>
  <c r="G30" i="1"/>
  <c r="G59" i="1"/>
  <c r="H30" i="1"/>
  <c r="H59" i="1"/>
  <c r="CD50" i="1"/>
  <c r="CC50" i="1"/>
  <c r="CB50" i="1"/>
  <c r="E31" i="1"/>
  <c r="F31" i="1"/>
  <c r="G31" i="1"/>
  <c r="H31" i="1"/>
  <c r="E32" i="1"/>
  <c r="E61" i="1"/>
  <c r="E63" i="1"/>
  <c r="BW33" i="1"/>
  <c r="BX33" i="1"/>
  <c r="BY33" i="1"/>
  <c r="BZ33" i="1"/>
  <c r="CA33" i="1"/>
  <c r="CB33" i="1"/>
  <c r="CC33" i="1"/>
  <c r="CD33" i="1"/>
  <c r="BW36" i="1"/>
  <c r="BX36" i="1"/>
  <c r="BY36" i="1"/>
  <c r="BZ36" i="1"/>
  <c r="CA36" i="1"/>
  <c r="CB36" i="1"/>
  <c r="CC36" i="1"/>
  <c r="CD36" i="1"/>
  <c r="BW37" i="1"/>
  <c r="BX37" i="1"/>
  <c r="BY37" i="1"/>
  <c r="BZ37" i="1"/>
  <c r="CA37" i="1"/>
  <c r="CC37" i="1"/>
  <c r="CD37" i="1"/>
  <c r="BW38" i="1"/>
  <c r="BX38" i="1"/>
  <c r="BY38" i="1"/>
  <c r="BZ38" i="1"/>
  <c r="CA38" i="1"/>
  <c r="CB38" i="1"/>
  <c r="CC38" i="1"/>
  <c r="CD38" i="1"/>
  <c r="BW39" i="1"/>
  <c r="BX39" i="1"/>
  <c r="BY39" i="1"/>
  <c r="BZ39" i="1"/>
  <c r="CA39" i="1"/>
  <c r="CB39" i="1"/>
  <c r="CC39" i="1"/>
  <c r="CD39" i="1"/>
  <c r="BW43" i="1"/>
  <c r="BX43" i="1"/>
  <c r="BY43" i="1"/>
  <c r="BZ43" i="1"/>
  <c r="CA43" i="1"/>
  <c r="CB43" i="1"/>
  <c r="CC43" i="1"/>
  <c r="CD43" i="1"/>
  <c r="BW44" i="1"/>
  <c r="BX44" i="1"/>
  <c r="BY44" i="1"/>
  <c r="BZ44" i="1"/>
  <c r="CA44" i="1"/>
  <c r="CB44" i="1"/>
  <c r="CC44" i="1"/>
  <c r="CD44" i="1"/>
  <c r="BW45" i="1"/>
  <c r="BX45" i="1"/>
  <c r="BY45" i="1"/>
  <c r="BZ45" i="1"/>
  <c r="CA45" i="1"/>
  <c r="CB45" i="1"/>
  <c r="CC45" i="1"/>
  <c r="CD45" i="1"/>
  <c r="BW46" i="1"/>
  <c r="BX46" i="1"/>
  <c r="BY46" i="1"/>
  <c r="BZ46" i="1"/>
  <c r="CA46" i="1"/>
  <c r="CB46" i="1"/>
  <c r="CC46" i="1"/>
  <c r="CD46" i="1"/>
  <c r="BW47" i="1"/>
  <c r="BX47" i="1"/>
  <c r="BY47" i="1"/>
  <c r="BZ47" i="1"/>
  <c r="CA47" i="1"/>
  <c r="CB47" i="1"/>
  <c r="CC47" i="1"/>
  <c r="CD47" i="1"/>
  <c r="BW48" i="1"/>
  <c r="BX48" i="1"/>
  <c r="BY48" i="1"/>
  <c r="BZ48" i="1"/>
  <c r="CA48" i="1"/>
  <c r="CB48" i="1"/>
  <c r="CC48" i="1"/>
  <c r="CD48" i="1"/>
  <c r="BW49" i="1"/>
  <c r="BX49" i="1"/>
  <c r="BY49" i="1"/>
  <c r="BZ49" i="1"/>
  <c r="CA49" i="1"/>
  <c r="CB49" i="1"/>
  <c r="CC49" i="1"/>
  <c r="CD49" i="1"/>
  <c r="BW50" i="1"/>
  <c r="BX50" i="1"/>
  <c r="BY50" i="1"/>
  <c r="BZ50" i="1"/>
  <c r="CA50" i="1"/>
  <c r="BW51" i="1"/>
  <c r="BX51" i="1"/>
  <c r="BY51" i="1"/>
  <c r="BZ51" i="1"/>
  <c r="CA51" i="1"/>
  <c r="CB51" i="1"/>
  <c r="CC51" i="1"/>
  <c r="CD51" i="1"/>
  <c r="BW52" i="1"/>
  <c r="BX52" i="1"/>
  <c r="BY52" i="1"/>
  <c r="BZ52" i="1"/>
  <c r="CA52" i="1"/>
  <c r="CB52" i="1"/>
  <c r="CC52" i="1"/>
  <c r="CD52" i="1"/>
  <c r="BW54" i="1"/>
  <c r="BX54" i="1"/>
  <c r="BY54" i="1"/>
  <c r="BZ54" i="1"/>
  <c r="CA54" i="1"/>
  <c r="CB54" i="1"/>
  <c r="CC54" i="1"/>
  <c r="CD54" i="1"/>
  <c r="E1" i="1"/>
  <c r="F1" i="1"/>
  <c r="G1" i="1"/>
  <c r="H1" i="1"/>
  <c r="E9" i="1"/>
  <c r="E11" i="1"/>
  <c r="F9" i="1"/>
  <c r="F11" i="1"/>
  <c r="G9" i="1"/>
  <c r="G11" i="1"/>
  <c r="H9" i="1"/>
  <c r="H11" i="1"/>
  <c r="E10" i="1"/>
  <c r="E12" i="1"/>
  <c r="F10" i="1"/>
  <c r="F12" i="1"/>
  <c r="G10" i="1"/>
  <c r="G12" i="1"/>
  <c r="H10" i="1"/>
  <c r="H12" i="1"/>
  <c r="K6" i="3"/>
  <c r="J6" i="3"/>
  <c r="I6" i="3"/>
  <c r="H6" i="3"/>
  <c r="G6" i="3"/>
  <c r="F6" i="3"/>
  <c r="E6" i="3"/>
  <c r="D6" i="3"/>
  <c r="C6" i="3"/>
  <c r="K5" i="3"/>
  <c r="J5" i="3"/>
  <c r="I5" i="3"/>
  <c r="H5" i="3"/>
  <c r="G5" i="3"/>
  <c r="F5" i="3"/>
  <c r="E5" i="3"/>
  <c r="H32" i="1"/>
  <c r="H61" i="1"/>
  <c r="H63" i="1"/>
  <c r="H5" i="1"/>
  <c r="F32" i="1"/>
  <c r="F61" i="1"/>
  <c r="F63" i="1"/>
  <c r="F5" i="1"/>
  <c r="G32" i="1"/>
  <c r="G61" i="1"/>
  <c r="G63" i="1"/>
  <c r="G5" i="1"/>
  <c r="E5" i="1"/>
  <c r="BS30" i="1"/>
  <c r="BS59" i="1"/>
  <c r="BS1" i="1"/>
  <c r="BS31" i="1"/>
  <c r="BS32" i="1"/>
  <c r="BS61" i="1"/>
  <c r="BS63" i="1"/>
  <c r="BS5" i="1"/>
</calcChain>
</file>

<file path=xl/sharedStrings.xml><?xml version="1.0" encoding="utf-8"?>
<sst xmlns="http://schemas.openxmlformats.org/spreadsheetml/2006/main" count="688" uniqueCount="571">
  <si>
    <t>착오수량</t>
    <phoneticPr fontId="1" type="noConversion"/>
  </si>
  <si>
    <t>출고완료</t>
    <phoneticPr fontId="1" type="noConversion"/>
  </si>
  <si>
    <t>패킹 입고수량</t>
  </si>
  <si>
    <t>오션</t>
    <phoneticPr fontId="1" type="noConversion"/>
  </si>
  <si>
    <t>에어</t>
    <phoneticPr fontId="1" type="noConversion"/>
  </si>
  <si>
    <t>618-5548-0902</t>
  </si>
  <si>
    <t>618-5549-2264</t>
  </si>
  <si>
    <t>618-5548-5916</t>
  </si>
  <si>
    <t>618-5548-7316</t>
  </si>
  <si>
    <t>618-5548-6001</t>
  </si>
  <si>
    <t>618-5548-1731</t>
  </si>
  <si>
    <t>618-5548-1742</t>
  </si>
  <si>
    <t>618-5548-6082</t>
  </si>
  <si>
    <t>618-5548-6071 무작위</t>
  </si>
  <si>
    <t>618-5548-6093(정밀)</t>
  </si>
  <si>
    <t>냉동</t>
  </si>
  <si>
    <t>합계</t>
    <phoneticPr fontId="1" type="noConversion"/>
  </si>
  <si>
    <t>비고</t>
    <phoneticPr fontId="1" type="noConversion"/>
  </si>
  <si>
    <t>망고스틴 5kg</t>
  </si>
  <si>
    <t>마하차녹</t>
  </si>
  <si>
    <t>골드망고</t>
  </si>
  <si>
    <t>마하차</t>
  </si>
  <si>
    <t>마하차녹(정밀)</t>
  </si>
  <si>
    <t>생산</t>
  </si>
  <si>
    <t>통관일자</t>
  </si>
  <si>
    <t>B/L No.</t>
  </si>
  <si>
    <t>4수</t>
  </si>
  <si>
    <t>1016 386 9 345</t>
  </si>
  <si>
    <t>폐기 78개</t>
  </si>
  <si>
    <t>618-5548-0902(1000ct)</t>
  </si>
  <si>
    <t>무작위</t>
  </si>
  <si>
    <t>618-5549-2264(1000ct)</t>
  </si>
  <si>
    <t>618-5548-5916(1000ct)</t>
  </si>
  <si>
    <t>618-5548-7316(1000ct)</t>
  </si>
  <si>
    <t xml:space="preserve">618-5548-6001(1000ct)				</t>
  </si>
  <si>
    <t xml:space="preserve">618-5548-1731(1500ct)				</t>
  </si>
  <si>
    <t xml:space="preserve">618-5548-6082(1000ct)				</t>
  </si>
  <si>
    <t xml:space="preserve">618-5548-6071(500ct)무작위				</t>
  </si>
  <si>
    <t xml:space="preserve">618-5548-6093(25ct)정밀				</t>
  </si>
  <si>
    <r>
      <rPr>
        <b/>
        <sz val="20"/>
        <color theme="1"/>
        <rFont val="돋움"/>
        <family val="3"/>
        <charset val="129"/>
      </rPr>
      <t>태국망고</t>
    </r>
    <r>
      <rPr>
        <b/>
        <sz val="20"/>
        <color theme="1"/>
        <rFont val="Meiryo"/>
        <family val="2"/>
      </rPr>
      <t xml:space="preserve"> 5kg</t>
    </r>
    <phoneticPr fontId="1" type="noConversion"/>
  </si>
  <si>
    <r>
      <rPr>
        <b/>
        <sz val="20"/>
        <color theme="1"/>
        <rFont val="돋움"/>
        <family val="3"/>
        <charset val="129"/>
      </rPr>
      <t>태국망고</t>
    </r>
    <r>
      <rPr>
        <b/>
        <sz val="20"/>
        <color theme="1"/>
        <rFont val="Meiryo"/>
        <family val="2"/>
      </rPr>
      <t>5kg</t>
    </r>
    <phoneticPr fontId="1" type="noConversion"/>
  </si>
  <si>
    <r>
      <rPr>
        <b/>
        <sz val="20"/>
        <color theme="1"/>
        <rFont val="돋움"/>
        <family val="3"/>
        <charset val="129"/>
      </rPr>
      <t>대만</t>
    </r>
    <phoneticPr fontId="1" type="noConversion"/>
  </si>
  <si>
    <r>
      <rPr>
        <b/>
        <sz val="20"/>
        <color theme="1"/>
        <rFont val="돋움"/>
        <family val="3"/>
        <charset val="129"/>
      </rPr>
      <t>파인애플</t>
    </r>
    <r>
      <rPr>
        <b/>
        <sz val="20"/>
        <color theme="1"/>
        <rFont val="Meiryo"/>
        <family val="2"/>
      </rPr>
      <t>10kg</t>
    </r>
    <phoneticPr fontId="1" type="noConversion"/>
  </si>
  <si>
    <t>두리안</t>
    <phoneticPr fontId="1" type="noConversion"/>
  </si>
  <si>
    <r>
      <t>A</t>
    </r>
    <r>
      <rPr>
        <b/>
        <sz val="20"/>
        <color theme="1"/>
        <rFont val="돋움"/>
        <family val="3"/>
        <charset val="129"/>
      </rPr>
      <t>급합계</t>
    </r>
    <phoneticPr fontId="1" type="noConversion"/>
  </si>
  <si>
    <r>
      <t>B</t>
    </r>
    <r>
      <rPr>
        <b/>
        <sz val="20"/>
        <color theme="1"/>
        <rFont val="돋움"/>
        <family val="3"/>
        <charset val="129"/>
      </rPr>
      <t>급합계</t>
    </r>
    <phoneticPr fontId="1" type="noConversion"/>
  </si>
  <si>
    <t>주소</t>
    <phoneticPr fontId="1" type="noConversion"/>
  </si>
  <si>
    <t>담당자</t>
    <phoneticPr fontId="1" type="noConversion"/>
  </si>
  <si>
    <t>전화번호</t>
    <phoneticPr fontId="1" type="noConversion"/>
  </si>
  <si>
    <t>검역로스</t>
  </si>
  <si>
    <t xml:space="preserve">검역로스 </t>
  </si>
  <si>
    <t>강서</t>
  </si>
  <si>
    <t>성심</t>
  </si>
  <si>
    <t>안양</t>
  </si>
  <si>
    <t>푸르미</t>
  </si>
  <si>
    <t>천안</t>
  </si>
  <si>
    <t>천안영풍</t>
  </si>
  <si>
    <t>가락</t>
  </si>
  <si>
    <t>한라</t>
  </si>
  <si>
    <t xml:space="preserve">진주 </t>
  </si>
  <si>
    <t>진주NF</t>
  </si>
  <si>
    <t>대전</t>
  </si>
  <si>
    <t>사우스코어</t>
  </si>
  <si>
    <t>Balance</t>
  </si>
  <si>
    <t>지역</t>
    <phoneticPr fontId="1" type="noConversion"/>
  </si>
  <si>
    <t>거래처</t>
    <phoneticPr fontId="1" type="noConversion"/>
  </si>
  <si>
    <t>연락처</t>
    <phoneticPr fontId="1" type="noConversion"/>
  </si>
  <si>
    <r>
      <t xml:space="preserve"> </t>
    </r>
    <r>
      <rPr>
        <b/>
        <sz val="10"/>
        <color theme="1"/>
        <rFont val="돋움"/>
        <family val="3"/>
        <charset val="129"/>
      </rPr>
      <t>논산</t>
    </r>
    <phoneticPr fontId="1" type="noConversion"/>
  </si>
  <si>
    <t>논산논산청과</t>
    <phoneticPr fontId="1" type="noConversion"/>
  </si>
  <si>
    <r>
      <rPr>
        <b/>
        <sz val="10"/>
        <color theme="1"/>
        <rFont val="돋움"/>
        <family val="3"/>
        <charset val="129"/>
      </rPr>
      <t>충남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논산시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취암동</t>
    </r>
    <r>
      <rPr>
        <b/>
        <sz val="10"/>
        <color theme="1"/>
        <rFont val="Meiryo"/>
        <family val="2"/>
      </rPr>
      <t xml:space="preserve"> 504 </t>
    </r>
    <phoneticPr fontId="1" type="noConversion"/>
  </si>
  <si>
    <t>011-456-1007</t>
  </si>
  <si>
    <t>GS</t>
    <phoneticPr fontId="1" type="noConversion"/>
  </si>
  <si>
    <r>
      <t>gs</t>
    </r>
    <r>
      <rPr>
        <b/>
        <sz val="10"/>
        <color theme="1"/>
        <rFont val="돋움"/>
        <family val="3"/>
        <charset val="129"/>
      </rPr>
      <t>양산물류센터</t>
    </r>
    <phoneticPr fontId="1" type="noConversion"/>
  </si>
  <si>
    <r>
      <rPr>
        <b/>
        <sz val="10"/>
        <color theme="1"/>
        <rFont val="돋움"/>
        <family val="3"/>
        <charset val="129"/>
      </rPr>
      <t>경남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양산시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다방동</t>
    </r>
    <r>
      <rPr>
        <b/>
        <sz val="10"/>
        <color theme="1"/>
        <rFont val="Meiryo"/>
        <family val="2"/>
      </rPr>
      <t xml:space="preserve"> 98-1</t>
    </r>
    <phoneticPr fontId="1" type="noConversion"/>
  </si>
  <si>
    <t>하역담당</t>
    <phoneticPr fontId="1" type="noConversion"/>
  </si>
  <si>
    <t>010-4285-0057</t>
  </si>
  <si>
    <t>가락</t>
    <phoneticPr fontId="1" type="noConversion"/>
  </si>
  <si>
    <t>가락농협신양플러스</t>
    <phoneticPr fontId="1" type="noConversion"/>
  </si>
  <si>
    <r>
      <rPr>
        <b/>
        <sz val="10"/>
        <color rgb="FF000000"/>
        <rFont val="맑은 고딕"/>
        <family val="3"/>
        <charset val="129"/>
      </rPr>
      <t>서울시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맑은 고딕"/>
        <family val="3"/>
        <charset val="129"/>
      </rPr>
      <t>송파구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맑은 고딕"/>
        <family val="3"/>
        <charset val="129"/>
      </rPr>
      <t>양재대로</t>
    </r>
    <r>
      <rPr>
        <b/>
        <sz val="10"/>
        <color rgb="FF000000"/>
        <rFont val="Meiryo"/>
        <family val="2"/>
        <charset val="128"/>
      </rPr>
      <t xml:space="preserve"> 932 (</t>
    </r>
    <r>
      <rPr>
        <b/>
        <sz val="10"/>
        <color rgb="FF000000"/>
        <rFont val="맑은 고딕"/>
        <family val="3"/>
        <charset val="129"/>
      </rPr>
      <t>가락동</t>
    </r>
    <r>
      <rPr>
        <b/>
        <sz val="10"/>
        <color rgb="FF000000"/>
        <rFont val="Meiryo"/>
        <family val="2"/>
        <charset val="128"/>
      </rPr>
      <t>)</t>
    </r>
  </si>
  <si>
    <t>가락동화성은</t>
    <phoneticPr fontId="1" type="noConversion"/>
  </si>
  <si>
    <t>가락서울가락청과</t>
    <phoneticPr fontId="1" type="noConversion"/>
  </si>
  <si>
    <t>가락중앙중앙청과</t>
    <phoneticPr fontId="1" type="noConversion"/>
  </si>
  <si>
    <r>
      <rPr>
        <b/>
        <sz val="10"/>
        <color theme="1"/>
        <rFont val="맑은 고딕"/>
        <family val="2"/>
        <charset val="129"/>
      </rPr>
      <t>서울시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송파구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양재대로</t>
    </r>
    <r>
      <rPr>
        <b/>
        <sz val="10"/>
        <color theme="1"/>
        <rFont val="Meiryo"/>
        <family val="2"/>
      </rPr>
      <t xml:space="preserve"> 932 (</t>
    </r>
    <r>
      <rPr>
        <b/>
        <sz val="10"/>
        <color theme="1"/>
        <rFont val="맑은 고딕"/>
        <family val="2"/>
        <charset val="129"/>
      </rPr>
      <t>가락동</t>
    </r>
    <r>
      <rPr>
        <b/>
        <sz val="10"/>
        <color theme="1"/>
        <rFont val="Meiryo"/>
        <family val="2"/>
      </rPr>
      <t>)</t>
    </r>
    <phoneticPr fontId="1" type="noConversion"/>
  </si>
  <si>
    <t>가락한국송화</t>
    <phoneticPr fontId="1" type="noConversion"/>
  </si>
  <si>
    <t>가락농협</t>
  </si>
  <si>
    <t>가락농협경운</t>
    <phoneticPr fontId="1" type="noConversion"/>
  </si>
  <si>
    <t>가락농협대일후르츠</t>
    <phoneticPr fontId="1" type="noConversion"/>
  </si>
  <si>
    <t>강서</t>
    <phoneticPr fontId="1" type="noConversion"/>
  </si>
  <si>
    <t>강서선인농산</t>
    <phoneticPr fontId="1" type="noConversion"/>
  </si>
  <si>
    <r>
      <rPr>
        <b/>
        <sz val="10"/>
        <color theme="1"/>
        <rFont val="돋움"/>
        <family val="3"/>
        <charset val="129"/>
      </rPr>
      <t>서울시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강서구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발산로</t>
    </r>
    <r>
      <rPr>
        <b/>
        <sz val="10"/>
        <color theme="1"/>
        <rFont val="Meiryo"/>
        <family val="2"/>
      </rPr>
      <t xml:space="preserve"> 40 </t>
    </r>
    <r>
      <rPr>
        <b/>
        <sz val="10"/>
        <color theme="1"/>
        <rFont val="돋움"/>
        <family val="3"/>
        <charset val="129"/>
      </rPr>
      <t>강서농수산물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도매시장</t>
    </r>
    <r>
      <rPr>
        <b/>
        <sz val="10"/>
        <color theme="1"/>
        <rFont val="Meiryo"/>
        <family val="2"/>
      </rPr>
      <t xml:space="preserve"> A-3</t>
    </r>
    <r>
      <rPr>
        <b/>
        <sz val="10"/>
        <color theme="1"/>
        <rFont val="돋움"/>
        <family val="3"/>
        <charset val="129"/>
      </rPr>
      <t>호</t>
    </r>
    <r>
      <rPr>
        <b/>
        <sz val="10"/>
        <color theme="1"/>
        <rFont val="Meiryo"/>
        <family val="2"/>
      </rPr>
      <t xml:space="preserve"> (02-2640-9903) </t>
    </r>
    <phoneticPr fontId="1" type="noConversion"/>
  </si>
  <si>
    <t>백승열</t>
    <phoneticPr fontId="1" type="noConversion"/>
  </si>
  <si>
    <t>010-8746-6936</t>
    <phoneticPr fontId="1" type="noConversion"/>
  </si>
  <si>
    <t>강서수명산</t>
    <phoneticPr fontId="1" type="noConversion"/>
  </si>
  <si>
    <r>
      <rPr>
        <b/>
        <sz val="10"/>
        <color theme="1"/>
        <rFont val="돋움"/>
        <family val="3"/>
        <charset val="129"/>
      </rPr>
      <t>서울시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강서구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외발산동</t>
    </r>
    <r>
      <rPr>
        <b/>
        <sz val="10"/>
        <color theme="1"/>
        <rFont val="Meiryo"/>
        <family val="2"/>
      </rPr>
      <t xml:space="preserve"> 216-18</t>
    </r>
    <phoneticPr fontId="1" type="noConversion"/>
  </si>
  <si>
    <t>010-2841-9420</t>
    <phoneticPr fontId="1" type="noConversion"/>
  </si>
  <si>
    <t>경기</t>
    <phoneticPr fontId="1" type="noConversion"/>
  </si>
  <si>
    <r>
      <rPr>
        <b/>
        <sz val="10"/>
        <color theme="1"/>
        <rFont val="돋움"/>
        <family val="3"/>
        <charset val="129"/>
      </rPr>
      <t>경기황금물산</t>
    </r>
    <r>
      <rPr>
        <b/>
        <sz val="10"/>
        <color theme="1"/>
        <rFont val="Meiryo"/>
        <family val="2"/>
      </rPr>
      <t>2</t>
    </r>
    <r>
      <rPr>
        <b/>
        <sz val="10"/>
        <color theme="1"/>
        <rFont val="돋움"/>
        <family val="3"/>
        <charset val="129"/>
      </rPr>
      <t>지점</t>
    </r>
    <phoneticPr fontId="1" type="noConversion"/>
  </si>
  <si>
    <r>
      <rPr>
        <b/>
        <sz val="10"/>
        <color theme="1"/>
        <rFont val="돋움"/>
        <family val="3"/>
        <charset val="129"/>
      </rPr>
      <t>신천동</t>
    </r>
    <r>
      <rPr>
        <b/>
        <sz val="10"/>
        <color theme="1"/>
        <rFont val="Meiryo"/>
        <family val="2"/>
      </rPr>
      <t xml:space="preserve"> 879-6 </t>
    </r>
    <phoneticPr fontId="1" type="noConversion"/>
  </si>
  <si>
    <t>010-2298-3234</t>
  </si>
  <si>
    <t>광명</t>
    <phoneticPr fontId="1" type="noConversion"/>
  </si>
  <si>
    <t>광명광명유통</t>
    <phoneticPr fontId="1" type="noConversion"/>
  </si>
  <si>
    <r>
      <rPr>
        <b/>
        <sz val="10"/>
        <color theme="1"/>
        <rFont val="돋움"/>
        <family val="3"/>
        <charset val="129"/>
      </rPr>
      <t>광명시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가학동</t>
    </r>
    <r>
      <rPr>
        <b/>
        <sz val="10"/>
        <color theme="1"/>
        <rFont val="Meiryo"/>
        <family val="2"/>
      </rPr>
      <t xml:space="preserve"> 335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</si>
  <si>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t>010-5535-9882</t>
    <phoneticPr fontId="1" type="noConversion"/>
  </si>
  <si>
    <t>광주</t>
    <phoneticPr fontId="1" type="noConversion"/>
  </si>
  <si>
    <t>광주누리원</t>
    <phoneticPr fontId="1" type="noConversion"/>
  </si>
  <si>
    <r>
      <rPr>
        <b/>
        <sz val="10"/>
        <color rgb="FF000000"/>
        <rFont val="맑은 고딕"/>
        <family val="3"/>
        <charset val="129"/>
      </rPr>
      <t>광주광역시</t>
    </r>
    <r>
      <rPr>
        <b/>
        <sz val="10"/>
        <color rgb="FF000000"/>
        <rFont val="Meiryo"/>
        <family val="2"/>
        <charset val="128"/>
      </rPr>
      <t xml:space="preserve"> 북구 첨단연신로4 누리원, 간판 두개 누리원 또는 광명데이콤 </t>
    </r>
  </si>
  <si>
    <t>010-7112-3824</t>
    <phoneticPr fontId="1" type="noConversion"/>
  </si>
  <si>
    <r>
      <rPr>
        <b/>
        <sz val="10"/>
        <color theme="1"/>
        <rFont val="돋움"/>
        <family val="3"/>
        <charset val="129"/>
      </rPr>
      <t>광주</t>
    </r>
    <r>
      <rPr>
        <b/>
        <sz val="10"/>
        <color theme="1"/>
        <rFont val="Meiryo"/>
        <family val="2"/>
      </rPr>
      <t xml:space="preserve"> </t>
    </r>
    <phoneticPr fontId="1" type="noConversion"/>
  </si>
  <si>
    <t>광주광주원협</t>
    <phoneticPr fontId="1" type="noConversion"/>
  </si>
  <si>
    <r>
      <rPr>
        <b/>
        <sz val="10"/>
        <color rgb="FF000000"/>
        <rFont val="돋움"/>
        <family val="3"/>
        <charset val="129"/>
      </rPr>
      <t>광주광역시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돋움"/>
        <family val="3"/>
        <charset val="129"/>
      </rPr>
      <t>북구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돋움"/>
        <family val="3"/>
        <charset val="129"/>
      </rPr>
      <t>각화동</t>
    </r>
    <r>
      <rPr>
        <b/>
        <sz val="10"/>
        <color rgb="FF000000"/>
        <rFont val="Meiryo"/>
        <family val="2"/>
        <charset val="128"/>
      </rPr>
      <t xml:space="preserve"> 437-3</t>
    </r>
  </si>
  <si>
    <t>062-250-7000</t>
    <phoneticPr fontId="1" type="noConversion"/>
  </si>
  <si>
    <t>광주광주농협</t>
    <phoneticPr fontId="1" type="noConversion"/>
  </si>
  <si>
    <r>
      <rPr>
        <b/>
        <sz val="10"/>
        <color theme="1"/>
        <rFont val="돋움"/>
        <family val="3"/>
        <charset val="129"/>
      </rPr>
      <t>광주광역시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서구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매월동</t>
    </r>
    <r>
      <rPr>
        <b/>
        <sz val="10"/>
        <color theme="1"/>
        <rFont val="Meiryo"/>
        <family val="2"/>
      </rPr>
      <t xml:space="preserve"> 954</t>
    </r>
    <phoneticPr fontId="1" type="noConversion"/>
  </si>
  <si>
    <t>광주두레청과</t>
    <phoneticPr fontId="1" type="noConversion"/>
  </si>
  <si>
    <r>
      <rPr>
        <b/>
        <sz val="10"/>
        <color rgb="FF000000"/>
        <rFont val="돋움"/>
        <family val="3"/>
        <charset val="129"/>
      </rPr>
      <t>광주광역시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돋움"/>
        <family val="3"/>
        <charset val="129"/>
      </rPr>
      <t>서구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돋움"/>
        <family val="3"/>
        <charset val="129"/>
      </rPr>
      <t>매월동</t>
    </r>
    <r>
      <rPr>
        <b/>
        <sz val="10"/>
        <color rgb="FF000000"/>
        <rFont val="Meiryo"/>
        <family val="2"/>
        <charset val="128"/>
      </rPr>
      <t xml:space="preserve"> 954 </t>
    </r>
  </si>
  <si>
    <t>062-655-6688</t>
  </si>
  <si>
    <t>광주서부농협</t>
    <phoneticPr fontId="1" type="noConversion"/>
  </si>
  <si>
    <r>
      <rPr>
        <b/>
        <sz val="10"/>
        <color theme="1"/>
        <rFont val="돋움"/>
        <family val="3"/>
        <charset val="129"/>
      </rPr>
      <t>광주광역시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서구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매월동</t>
    </r>
    <r>
      <rPr>
        <b/>
        <sz val="10"/>
        <color theme="1"/>
        <rFont val="Meiryo"/>
        <family val="2"/>
      </rPr>
      <t xml:space="preserve"> 954 </t>
    </r>
    <phoneticPr fontId="1" type="noConversion"/>
  </si>
  <si>
    <t>062-651-4900</t>
  </si>
  <si>
    <t>광주매월</t>
    <phoneticPr fontId="1" type="noConversion"/>
  </si>
  <si>
    <t>광주매월장보남</t>
    <phoneticPr fontId="1" type="noConversion"/>
  </si>
  <si>
    <r>
      <rPr>
        <b/>
        <sz val="10"/>
        <color theme="1"/>
        <rFont val="돋움"/>
        <family val="3"/>
        <charset val="129"/>
      </rPr>
      <t>광주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서구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매월동</t>
    </r>
    <r>
      <rPr>
        <b/>
        <sz val="10"/>
        <color theme="1"/>
        <rFont val="Meiryo"/>
        <family val="2"/>
      </rPr>
      <t xml:space="preserve"> 952-16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</si>
  <si>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t>010-2606-9780</t>
    <phoneticPr fontId="1" type="noConversion"/>
  </si>
  <si>
    <t>구리</t>
    <phoneticPr fontId="1" type="noConversion"/>
  </si>
  <si>
    <t>구리구리청과</t>
    <phoneticPr fontId="1" type="noConversion"/>
  </si>
  <si>
    <t>경기도 구리시 도매시장로 68(인창동)</t>
  </si>
  <si>
    <t>031-560-6182</t>
    <phoneticPr fontId="1" type="noConversion"/>
  </si>
  <si>
    <t>김포</t>
    <phoneticPr fontId="1" type="noConversion"/>
  </si>
  <si>
    <t>김포광명유통</t>
    <phoneticPr fontId="1" type="noConversion"/>
  </si>
  <si>
    <t>김포공항</t>
    <phoneticPr fontId="1" type="noConversion"/>
  </si>
  <si>
    <t>010-8964-4711</t>
    <phoneticPr fontId="1" type="noConversion"/>
  </si>
  <si>
    <t>김포문명길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</si>
  <si>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김포시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한강</t>
    </r>
    <r>
      <rPr>
        <b/>
        <sz val="10"/>
        <color theme="1"/>
        <rFont val="Meiryo"/>
        <family val="2"/>
      </rPr>
      <t>8</t>
    </r>
    <r>
      <rPr>
        <b/>
        <sz val="10"/>
        <color theme="1"/>
        <rFont val="돋움"/>
        <family val="3"/>
        <charset val="129"/>
      </rPr>
      <t>로</t>
    </r>
    <r>
      <rPr>
        <b/>
        <sz val="10"/>
        <color theme="1"/>
        <rFont val="Meiryo"/>
        <family val="2"/>
      </rPr>
      <t xml:space="preserve"> 15, </t>
    </r>
    <r>
      <rPr>
        <b/>
        <sz val="10"/>
        <color theme="1"/>
        <rFont val="돋움"/>
        <family val="3"/>
        <charset val="129"/>
      </rPr>
      <t>한강센트럴블루힐</t>
    </r>
    <r>
      <rPr>
        <b/>
        <sz val="10"/>
        <color theme="1"/>
        <rFont val="Meiryo"/>
        <family val="2"/>
      </rPr>
      <t xml:space="preserve"> 505</t>
    </r>
    <r>
      <rPr>
        <b/>
        <sz val="10"/>
        <color theme="1"/>
        <rFont val="돋움"/>
        <family val="3"/>
        <charset val="129"/>
      </rPr>
      <t>동</t>
    </r>
    <r>
      <rPr>
        <b/>
        <sz val="10"/>
        <color theme="1"/>
        <rFont val="Meiryo"/>
        <family val="2"/>
      </rPr>
      <t xml:space="preserve"> 140</t>
    </r>
    <r>
      <rPr>
        <b/>
        <sz val="10"/>
        <color theme="1"/>
        <rFont val="돋움"/>
        <family val="3"/>
        <charset val="129"/>
      </rPr>
      <t>호</t>
    </r>
    <phoneticPr fontId="1" type="noConversion"/>
  </si>
  <si>
    <t>010-8865-8255</t>
    <phoneticPr fontId="1" type="noConversion"/>
  </si>
  <si>
    <t>남양주</t>
    <phoneticPr fontId="1" type="noConversion"/>
  </si>
  <si>
    <t>남양주비티원</t>
    <phoneticPr fontId="1" type="noConversion"/>
  </si>
  <si>
    <t>남양주시 진접읍 연평리 233</t>
  </si>
  <si>
    <t>010-7299-8293</t>
    <phoneticPr fontId="1" type="noConversion"/>
  </si>
  <si>
    <t>남양주인우마케팅</t>
    <phoneticPr fontId="1" type="noConversion"/>
  </si>
  <si>
    <t>경기도 남양주시 진접읍 연평리 458-5 인우</t>
  </si>
  <si>
    <t>010-2110-9545</t>
  </si>
  <si>
    <t>논산</t>
    <phoneticPr fontId="1" type="noConversion"/>
  </si>
  <si>
    <t>논산논산피알</t>
    <phoneticPr fontId="1" type="noConversion"/>
  </si>
  <si>
    <r>
      <rPr>
        <b/>
        <sz val="10"/>
        <color theme="1"/>
        <rFont val="돋움"/>
        <family val="3"/>
        <charset val="129"/>
      </rPr>
      <t>충남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논산시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계백로</t>
    </r>
    <r>
      <rPr>
        <b/>
        <sz val="10"/>
        <color theme="1"/>
        <rFont val="Meiryo"/>
        <family val="2"/>
      </rPr>
      <t xml:space="preserve"> 918(</t>
    </r>
    <r>
      <rPr>
        <b/>
        <sz val="10"/>
        <color theme="1"/>
        <rFont val="돋움"/>
        <family val="3"/>
        <charset val="129"/>
      </rPr>
      <t>논산</t>
    </r>
    <r>
      <rPr>
        <b/>
        <sz val="10"/>
        <color theme="1"/>
        <rFont val="Meiryo"/>
        <family val="2"/>
      </rPr>
      <t xml:space="preserve"> KT</t>
    </r>
    <r>
      <rPr>
        <b/>
        <sz val="10"/>
        <color theme="1"/>
        <rFont val="돋움"/>
        <family val="3"/>
        <charset val="129"/>
      </rPr>
      <t>전화국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옆</t>
    </r>
    <r>
      <rPr>
        <b/>
        <sz val="10"/>
        <color theme="1"/>
        <rFont val="Meiryo"/>
        <family val="2"/>
      </rPr>
      <t>)</t>
    </r>
    <phoneticPr fontId="1" type="noConversion"/>
  </si>
  <si>
    <t>010-5514-1244</t>
    <phoneticPr fontId="1" type="noConversion"/>
  </si>
  <si>
    <t>논산황산청과</t>
    <phoneticPr fontId="1" type="noConversion"/>
  </si>
  <si>
    <t>경매사님</t>
    <phoneticPr fontId="1" type="noConversion"/>
  </si>
  <si>
    <t>010-7730-8082</t>
    <phoneticPr fontId="1" type="noConversion"/>
  </si>
  <si>
    <t>대구</t>
    <phoneticPr fontId="1" type="noConversion"/>
  </si>
  <si>
    <t>대구대구경북원예농협</t>
    <phoneticPr fontId="1" type="noConversion"/>
  </si>
  <si>
    <r>
      <rPr>
        <b/>
        <sz val="10"/>
        <color theme="1"/>
        <rFont val="돋움"/>
        <family val="3"/>
        <charset val="129"/>
      </rPr>
      <t>매천동</t>
    </r>
    <r>
      <rPr>
        <b/>
        <sz val="10"/>
        <color theme="1"/>
        <rFont val="Meiryo"/>
        <family val="2"/>
      </rPr>
      <t xml:space="preserve"> 527-3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</si>
  <si>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t>053-312-1792</t>
    <phoneticPr fontId="1" type="noConversion"/>
  </si>
  <si>
    <t>대구대구만성</t>
    <phoneticPr fontId="1" type="noConversion"/>
  </si>
  <si>
    <t>대구 북구 관음동 6-7번지</t>
  </si>
  <si>
    <t>010-2530-1237</t>
    <phoneticPr fontId="1" type="noConversion"/>
  </si>
  <si>
    <t>대구백운농산</t>
    <phoneticPr fontId="1" type="noConversion"/>
  </si>
  <si>
    <r>
      <rPr>
        <b/>
        <sz val="10"/>
        <color theme="1"/>
        <rFont val="돋움"/>
        <family val="3"/>
        <charset val="129"/>
      </rPr>
      <t>매천동</t>
    </r>
    <r>
      <rPr>
        <b/>
        <sz val="10"/>
        <color theme="1"/>
        <rFont val="Meiryo"/>
        <family val="2"/>
      </rPr>
      <t xml:space="preserve"> 167-3 </t>
    </r>
    <phoneticPr fontId="1" type="noConversion"/>
  </si>
  <si>
    <t>010-3521-1683</t>
  </si>
  <si>
    <t>대구효성청과</t>
    <phoneticPr fontId="1" type="noConversion"/>
  </si>
  <si>
    <t xml:space="preserve">대구광역시 북구 매천동 537-3번지 </t>
  </si>
  <si>
    <r>
      <rPr>
        <b/>
        <sz val="10"/>
        <color theme="1"/>
        <rFont val="돋움"/>
        <family val="3"/>
        <charset val="129"/>
      </rPr>
      <t>정상록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부장</t>
    </r>
    <phoneticPr fontId="1" type="noConversion"/>
  </si>
  <si>
    <t>010-3812-4489</t>
    <phoneticPr fontId="1" type="noConversion"/>
  </si>
  <si>
    <t>대전</t>
    <phoneticPr fontId="1" type="noConversion"/>
  </si>
  <si>
    <t>대전대성청과</t>
    <phoneticPr fontId="1" type="noConversion"/>
  </si>
  <si>
    <r>
      <rPr>
        <b/>
        <sz val="10"/>
        <color theme="1"/>
        <rFont val="돋움"/>
        <family val="3"/>
        <charset val="129"/>
      </rPr>
      <t>오정동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시장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앞</t>
    </r>
    <r>
      <rPr>
        <b/>
        <sz val="10"/>
        <color theme="1"/>
        <rFont val="Meiryo"/>
        <family val="2"/>
      </rPr>
      <t xml:space="preserve"> </t>
    </r>
    <phoneticPr fontId="1" type="noConversion"/>
  </si>
  <si>
    <t>042-621-7694</t>
  </si>
  <si>
    <t>대전대전농협</t>
    <phoneticPr fontId="1" type="noConversion"/>
  </si>
  <si>
    <r>
      <rPr>
        <b/>
        <sz val="10"/>
        <color theme="1"/>
        <rFont val="돋움"/>
        <family val="3"/>
        <charset val="129"/>
      </rPr>
      <t>대전광역시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대덕구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한밭대로</t>
    </r>
    <r>
      <rPr>
        <b/>
        <sz val="10"/>
        <color theme="1"/>
        <rFont val="Meiryo"/>
        <family val="2"/>
      </rPr>
      <t xml:space="preserve"> 987(042-624-7781) </t>
    </r>
    <phoneticPr fontId="1" type="noConversion"/>
  </si>
  <si>
    <r>
      <rPr>
        <b/>
        <sz val="10"/>
        <color theme="1"/>
        <rFont val="돋움"/>
        <family val="3"/>
        <charset val="129"/>
      </rPr>
      <t>류재명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과장</t>
    </r>
    <phoneticPr fontId="1" type="noConversion"/>
  </si>
  <si>
    <t>010-4410-8259</t>
    <phoneticPr fontId="1" type="noConversion"/>
  </si>
  <si>
    <t>대전대전원협</t>
    <phoneticPr fontId="1" type="noConversion"/>
  </si>
  <si>
    <r>
      <rPr>
        <b/>
        <sz val="10"/>
        <color theme="1"/>
        <rFont val="돋움"/>
        <family val="3"/>
        <charset val="129"/>
      </rPr>
      <t>유성구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노은동로</t>
    </r>
    <r>
      <rPr>
        <b/>
        <sz val="10"/>
        <color theme="1"/>
        <rFont val="Meiryo"/>
        <family val="2"/>
      </rPr>
      <t xml:space="preserve"> 33</t>
    </r>
    <phoneticPr fontId="1" type="noConversion"/>
  </si>
  <si>
    <t>대전대전중앙</t>
    <phoneticPr fontId="1" type="noConversion"/>
  </si>
  <si>
    <r>
      <rPr>
        <b/>
        <sz val="10"/>
        <color theme="1"/>
        <rFont val="돋움"/>
        <family val="3"/>
        <charset val="129"/>
      </rPr>
      <t>노은동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농산물시장</t>
    </r>
    <phoneticPr fontId="1" type="noConversion"/>
  </si>
  <si>
    <t>동탄</t>
    <phoneticPr fontId="1" type="noConversion"/>
  </si>
  <si>
    <t>동탄채과원</t>
    <phoneticPr fontId="1" type="noConversion"/>
  </si>
  <si>
    <r>
      <rPr>
        <b/>
        <sz val="10"/>
        <color theme="1"/>
        <rFont val="돋움"/>
        <family val="3"/>
        <charset val="129"/>
      </rPr>
      <t>화성시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동탄면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동타산단</t>
    </r>
    <r>
      <rPr>
        <b/>
        <sz val="10"/>
        <color theme="1"/>
        <rFont val="Meiryo"/>
        <family val="2"/>
      </rPr>
      <t>3</t>
    </r>
    <r>
      <rPr>
        <b/>
        <sz val="10"/>
        <color theme="1"/>
        <rFont val="돋움"/>
        <family val="3"/>
        <charset val="129"/>
      </rPr>
      <t>길</t>
    </r>
    <r>
      <rPr>
        <b/>
        <sz val="10"/>
        <color theme="1"/>
        <rFont val="Meiryo"/>
        <family val="2"/>
      </rPr>
      <t xml:space="preserve"> 20-5(</t>
    </r>
    <r>
      <rPr>
        <b/>
        <sz val="10"/>
        <color theme="1"/>
        <rFont val="돋움"/>
        <family val="3"/>
        <charset val="129"/>
      </rPr>
      <t>방교리</t>
    </r>
    <r>
      <rPr>
        <b/>
        <sz val="10"/>
        <color theme="1"/>
        <rFont val="Meiryo"/>
        <family val="2"/>
      </rPr>
      <t>)</t>
    </r>
    <phoneticPr fontId="1" type="noConversion"/>
  </si>
  <si>
    <t>마산</t>
    <phoneticPr fontId="1" type="noConversion"/>
  </si>
  <si>
    <t>마산수지글로벌</t>
    <phoneticPr fontId="1" type="noConversion"/>
  </si>
  <si>
    <r>
      <rPr>
        <b/>
        <sz val="10"/>
        <color theme="1"/>
        <rFont val="돋움"/>
        <family val="3"/>
        <charset val="129"/>
      </rPr>
      <t>경남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창원시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마산회원구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내서읍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중리</t>
    </r>
    <r>
      <rPr>
        <b/>
        <sz val="10"/>
        <color theme="1"/>
        <rFont val="Meiryo"/>
        <family val="2"/>
      </rPr>
      <t xml:space="preserve"> 750</t>
    </r>
    <r>
      <rPr>
        <b/>
        <sz val="10"/>
        <color theme="1"/>
        <rFont val="돋움"/>
        <family val="3"/>
        <charset val="129"/>
      </rPr>
      <t>번지</t>
    </r>
    <r>
      <rPr>
        <b/>
        <sz val="10"/>
        <color theme="1"/>
        <rFont val="Meiryo"/>
        <family val="2"/>
      </rPr>
      <t xml:space="preserve">, </t>
    </r>
    <r>
      <rPr>
        <b/>
        <sz val="10"/>
        <color theme="1"/>
        <rFont val="돋움"/>
        <family val="3"/>
        <charset val="129"/>
      </rPr>
      <t>마산청과</t>
    </r>
    <r>
      <rPr>
        <b/>
        <sz val="10"/>
        <color theme="1"/>
        <rFont val="Meiryo"/>
        <family val="2"/>
      </rPr>
      <t xml:space="preserve"> 77</t>
    </r>
    <r>
      <rPr>
        <b/>
        <sz val="10"/>
        <color theme="1"/>
        <rFont val="돋움"/>
        <family val="3"/>
        <charset val="129"/>
      </rPr>
      <t>번</t>
    </r>
    <phoneticPr fontId="1" type="noConversion"/>
  </si>
  <si>
    <t>목포</t>
    <phoneticPr fontId="1" type="noConversion"/>
  </si>
  <si>
    <t>목포금성</t>
    <phoneticPr fontId="1" type="noConversion"/>
  </si>
  <si>
    <r>
      <rPr>
        <b/>
        <sz val="10"/>
        <color theme="1"/>
        <rFont val="돋움"/>
        <family val="3"/>
        <charset val="129"/>
      </rPr>
      <t>목포시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대양동</t>
    </r>
    <r>
      <rPr>
        <b/>
        <sz val="10"/>
        <color theme="1"/>
        <rFont val="Meiryo"/>
        <family val="2"/>
      </rPr>
      <t>1187-5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</si>
  <si>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t>010-9435-3466</t>
    <phoneticPr fontId="1" type="noConversion"/>
  </si>
  <si>
    <t>목포목포원협</t>
    <phoneticPr fontId="1" type="noConversion"/>
  </si>
  <si>
    <r>
      <rPr>
        <b/>
        <sz val="10"/>
        <color theme="1"/>
        <rFont val="돋움"/>
        <family val="3"/>
        <charset val="129"/>
      </rPr>
      <t>전라남도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목포시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상동</t>
    </r>
    <r>
      <rPr>
        <b/>
        <sz val="10"/>
        <color theme="1"/>
        <rFont val="Meiryo"/>
        <family val="2"/>
      </rPr>
      <t xml:space="preserve"> 250-5 </t>
    </r>
    <phoneticPr fontId="1" type="noConversion"/>
  </si>
  <si>
    <t>이명규경매사</t>
    <phoneticPr fontId="1" type="noConversion"/>
  </si>
  <si>
    <t>010-5400-5455</t>
    <phoneticPr fontId="1" type="noConversion"/>
  </si>
  <si>
    <t>목포보신상사</t>
    <phoneticPr fontId="1" type="noConversion"/>
  </si>
  <si>
    <r>
      <rPr>
        <b/>
        <sz val="10"/>
        <color theme="1"/>
        <rFont val="돋움"/>
        <family val="3"/>
        <charset val="129"/>
      </rPr>
      <t>전남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무안군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일로읍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산정리</t>
    </r>
    <r>
      <rPr>
        <b/>
        <sz val="10"/>
        <color theme="1"/>
        <rFont val="Meiryo"/>
        <family val="2"/>
      </rPr>
      <t xml:space="preserve"> 768-1 </t>
    </r>
    <phoneticPr fontId="1" type="noConversion"/>
  </si>
  <si>
    <t>010-4624-2761</t>
    <phoneticPr fontId="1" type="noConversion"/>
  </si>
  <si>
    <t>부산중앙청과</t>
  </si>
  <si>
    <t>부산과일특공대</t>
    <phoneticPr fontId="1" type="noConversion"/>
  </si>
  <si>
    <r>
      <rPr>
        <b/>
        <sz val="10"/>
        <color theme="1"/>
        <rFont val="돋움"/>
        <family val="3"/>
        <charset val="129"/>
      </rPr>
      <t>부산진구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부전동</t>
    </r>
    <r>
      <rPr>
        <b/>
        <sz val="10"/>
        <color theme="1"/>
        <rFont val="Meiryo"/>
        <family val="2"/>
      </rPr>
      <t xml:space="preserve"> 474-51 </t>
    </r>
    <phoneticPr fontId="1" type="noConversion"/>
  </si>
  <si>
    <t>010-8290-8920</t>
  </si>
  <si>
    <t>부산</t>
    <phoneticPr fontId="1" type="noConversion"/>
  </si>
  <si>
    <t>부산부산중앙청과</t>
    <phoneticPr fontId="1" type="noConversion"/>
  </si>
  <si>
    <t xml:space="preserve">부산 해운대구 수영강변대로 626 반여농산물시장 중앙청과 </t>
  </si>
  <si>
    <t>051-666-2000</t>
    <phoneticPr fontId="1" type="noConversion"/>
  </si>
  <si>
    <t>부산신화</t>
    <phoneticPr fontId="1" type="noConversion"/>
  </si>
  <si>
    <r>
      <rPr>
        <b/>
        <sz val="10"/>
        <color theme="1"/>
        <rFont val="돋움"/>
        <family val="3"/>
        <charset val="129"/>
      </rPr>
      <t>반여시장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동부청과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내</t>
    </r>
    <r>
      <rPr>
        <b/>
        <sz val="10"/>
        <color theme="1"/>
        <rFont val="Meiryo"/>
        <family val="2"/>
      </rPr>
      <t xml:space="preserve"> </t>
    </r>
    <phoneticPr fontId="1" type="noConversion"/>
  </si>
  <si>
    <t>051-666-5066</t>
  </si>
  <si>
    <t>부산대저</t>
    <phoneticPr fontId="1" type="noConversion"/>
  </si>
  <si>
    <t>부산대저성민청과</t>
    <phoneticPr fontId="1" type="noConversion"/>
  </si>
  <si>
    <r>
      <rPr>
        <b/>
        <sz val="10"/>
        <color theme="1"/>
        <rFont val="맑은 고딕"/>
        <family val="2"/>
        <charset val="129"/>
      </rPr>
      <t>부산광역시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강서구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대저</t>
    </r>
    <r>
      <rPr>
        <b/>
        <sz val="10"/>
        <color theme="1"/>
        <rFont val="Meiryo"/>
        <family val="2"/>
      </rPr>
      <t>2</t>
    </r>
    <r>
      <rPr>
        <b/>
        <sz val="10"/>
        <color theme="1"/>
        <rFont val="맑은 고딕"/>
        <family val="2"/>
        <charset val="129"/>
      </rPr>
      <t>동</t>
    </r>
    <r>
      <rPr>
        <b/>
        <sz val="10"/>
        <color theme="1"/>
        <rFont val="Meiryo"/>
        <family val="2"/>
      </rPr>
      <t xml:space="preserve"> 5222</t>
    </r>
    <r>
      <rPr>
        <b/>
        <sz val="10"/>
        <color theme="1"/>
        <rFont val="맑은 고딕"/>
        <family val="2"/>
        <charset val="129"/>
      </rPr>
      <t>번지</t>
    </r>
    <phoneticPr fontId="1" type="noConversion"/>
  </si>
  <si>
    <t>010-5412-7500</t>
    <phoneticPr fontId="1" type="noConversion"/>
  </si>
  <si>
    <t>부산대저수지글로벌</t>
    <phoneticPr fontId="1" type="noConversion"/>
  </si>
  <si>
    <r>
      <rPr>
        <b/>
        <sz val="10"/>
        <color theme="1"/>
        <rFont val="돋움"/>
        <family val="3"/>
        <charset val="129"/>
      </rPr>
      <t>부산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강서구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대저</t>
    </r>
    <r>
      <rPr>
        <b/>
        <sz val="10"/>
        <color theme="1"/>
        <rFont val="Meiryo"/>
        <family val="2"/>
      </rPr>
      <t>1</t>
    </r>
    <r>
      <rPr>
        <b/>
        <sz val="10"/>
        <color theme="1"/>
        <rFont val="돋움"/>
        <family val="3"/>
        <charset val="129"/>
      </rPr>
      <t>동</t>
    </r>
    <r>
      <rPr>
        <b/>
        <sz val="10"/>
        <color theme="1"/>
        <rFont val="Meiryo"/>
        <family val="2"/>
      </rPr>
      <t xml:space="preserve"> 1218</t>
    </r>
    <phoneticPr fontId="1" type="noConversion"/>
  </si>
  <si>
    <t>010-9828-0255</t>
    <phoneticPr fontId="1" type="noConversion"/>
  </si>
  <si>
    <t>부산반여</t>
    <phoneticPr fontId="1" type="noConversion"/>
  </si>
  <si>
    <t>부산반여서연후르츠</t>
    <phoneticPr fontId="1" type="noConversion"/>
  </si>
  <si>
    <r>
      <rPr>
        <b/>
        <sz val="10"/>
        <color theme="1"/>
        <rFont val="돋움"/>
        <family val="3"/>
        <charset val="129"/>
      </rPr>
      <t>부산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해운대구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반여동</t>
    </r>
    <r>
      <rPr>
        <b/>
        <sz val="10"/>
        <color theme="1"/>
        <rFont val="Meiryo"/>
        <family val="2"/>
      </rPr>
      <t xml:space="preserve"> 559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</si>
  <si>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t>부산반여수지글로벌</t>
    <phoneticPr fontId="1" type="noConversion"/>
  </si>
  <si>
    <r>
      <rPr>
        <b/>
        <sz val="10"/>
        <color theme="1"/>
        <rFont val="돋움"/>
        <family val="3"/>
        <charset val="129"/>
      </rPr>
      <t>부산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해운대구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반여동</t>
    </r>
    <r>
      <rPr>
        <b/>
        <sz val="10"/>
        <color theme="1"/>
        <rFont val="Meiryo"/>
        <family val="2"/>
      </rPr>
      <t xml:space="preserve"> 559</t>
    </r>
    <r>
      <rPr>
        <b/>
        <sz val="10"/>
        <color theme="1"/>
        <rFont val="돋움"/>
        <family val="3"/>
        <charset val="129"/>
      </rPr>
      <t>번지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농협공판장</t>
    </r>
    <r>
      <rPr>
        <b/>
        <sz val="10"/>
        <color theme="1"/>
        <rFont val="Meiryo"/>
        <family val="2"/>
      </rPr>
      <t xml:space="preserve"> 1</t>
    </r>
    <r>
      <rPr>
        <b/>
        <sz val="10"/>
        <color theme="1"/>
        <rFont val="돋움"/>
        <family val="3"/>
        <charset val="129"/>
      </rPr>
      <t>번</t>
    </r>
    <r>
      <rPr>
        <b/>
        <sz val="10"/>
        <color theme="1"/>
        <rFont val="Meiryo"/>
        <family val="2"/>
      </rPr>
      <t xml:space="preserve">, </t>
    </r>
    <r>
      <rPr>
        <b/>
        <sz val="10"/>
        <color theme="1"/>
        <rFont val="돋움"/>
        <family val="3"/>
        <charset val="129"/>
      </rPr>
      <t>새벽</t>
    </r>
    <r>
      <rPr>
        <b/>
        <sz val="10"/>
        <color theme="1"/>
        <rFont val="Meiryo"/>
        <family val="2"/>
      </rPr>
      <t>4</t>
    </r>
    <r>
      <rPr>
        <b/>
        <sz val="10"/>
        <color theme="1"/>
        <rFont val="돋움"/>
        <family val="3"/>
        <charset val="129"/>
      </rPr>
      <t>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하차</t>
    </r>
    <phoneticPr fontId="1" type="noConversion"/>
  </si>
  <si>
    <t>010-3849-3477</t>
    <phoneticPr fontId="1" type="noConversion"/>
  </si>
  <si>
    <t>부산엄궁</t>
    <phoneticPr fontId="1" type="noConversion"/>
  </si>
  <si>
    <t>부산엄궁성민청과</t>
    <phoneticPr fontId="1" type="noConversion"/>
  </si>
  <si>
    <r>
      <rPr>
        <b/>
        <sz val="10"/>
        <color theme="1"/>
        <rFont val="돋움"/>
        <family val="3"/>
        <charset val="129"/>
      </rPr>
      <t>부산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사상구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농산물시장로</t>
    </r>
    <r>
      <rPr>
        <b/>
        <sz val="10"/>
        <color theme="1"/>
        <rFont val="Meiryo"/>
        <family val="2"/>
      </rPr>
      <t>9</t>
    </r>
    <r>
      <rPr>
        <b/>
        <sz val="10"/>
        <color theme="1"/>
        <rFont val="돋움"/>
        <family val="3"/>
        <charset val="129"/>
      </rPr>
      <t>번길</t>
    </r>
    <r>
      <rPr>
        <b/>
        <sz val="10"/>
        <color theme="1"/>
        <rFont val="Meiryo"/>
        <family val="2"/>
      </rPr>
      <t xml:space="preserve"> 11 </t>
    </r>
    <r>
      <rPr>
        <b/>
        <sz val="10"/>
        <color theme="1"/>
        <rFont val="돋움"/>
        <family val="3"/>
        <charset val="129"/>
      </rPr>
      <t>농산물도매시장</t>
    </r>
    <phoneticPr fontId="1" type="noConversion"/>
  </si>
  <si>
    <t>부산진해</t>
    <phoneticPr fontId="1" type="noConversion"/>
  </si>
  <si>
    <t>부산진해진원무역</t>
    <phoneticPr fontId="1" type="noConversion"/>
  </si>
  <si>
    <r>
      <rPr>
        <b/>
        <sz val="10"/>
        <color theme="1"/>
        <rFont val="맑은 고딕"/>
        <family val="2"/>
        <charset val="129"/>
      </rPr>
      <t>경남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창원시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진해구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안골동</t>
    </r>
    <r>
      <rPr>
        <b/>
        <sz val="10"/>
        <color theme="1"/>
        <rFont val="Meiryo"/>
        <family val="2"/>
      </rPr>
      <t xml:space="preserve"> 835-31</t>
    </r>
    <phoneticPr fontId="1" type="noConversion"/>
  </si>
  <si>
    <r>
      <rPr>
        <b/>
        <sz val="10"/>
        <color theme="1"/>
        <rFont val="맑은 고딕"/>
        <family val="2"/>
        <charset val="129"/>
      </rPr>
      <t>홍희동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과장</t>
    </r>
    <r>
      <rPr>
        <b/>
        <sz val="10"/>
        <color theme="1"/>
        <rFont val="Meiryo"/>
        <family val="2"/>
      </rPr>
      <t>/</t>
    </r>
    <r>
      <rPr>
        <b/>
        <sz val="10"/>
        <color theme="1"/>
        <rFont val="맑은 고딕"/>
        <family val="2"/>
        <charset val="129"/>
      </rPr>
      <t>김종환</t>
    </r>
    <r>
      <rPr>
        <b/>
        <sz val="10"/>
        <color theme="1"/>
        <rFont val="Meiryo"/>
        <family val="2"/>
      </rPr>
      <t>(</t>
    </r>
    <r>
      <rPr>
        <b/>
        <sz val="10"/>
        <color theme="1"/>
        <rFont val="맑은 고딕"/>
        <family val="2"/>
        <charset val="129"/>
      </rPr>
      <t>비상</t>
    </r>
    <r>
      <rPr>
        <b/>
        <sz val="10"/>
        <color theme="1"/>
        <rFont val="Meiryo"/>
        <family val="2"/>
      </rPr>
      <t>)</t>
    </r>
    <phoneticPr fontId="1" type="noConversion"/>
  </si>
  <si>
    <t>010-9335-7837/010-7700-1321</t>
    <phoneticPr fontId="1" type="noConversion"/>
  </si>
  <si>
    <t>부천</t>
    <phoneticPr fontId="1" type="noConversion"/>
  </si>
  <si>
    <r>
      <rPr>
        <b/>
        <sz val="10"/>
        <color theme="1"/>
        <rFont val="맑은 고딕"/>
        <family val="2"/>
        <charset val="129"/>
      </rPr>
      <t>부천</t>
    </r>
    <r>
      <rPr>
        <b/>
        <sz val="10"/>
        <color theme="1"/>
        <rFont val="Meiryo"/>
        <family val="2"/>
      </rPr>
      <t>BS</t>
    </r>
    <r>
      <rPr>
        <b/>
        <sz val="10"/>
        <color theme="1"/>
        <rFont val="맑은 고딕"/>
        <family val="2"/>
        <charset val="129"/>
      </rPr>
      <t>마트</t>
    </r>
    <phoneticPr fontId="1" type="noConversion"/>
  </si>
  <si>
    <r>
      <rPr>
        <b/>
        <sz val="10"/>
        <color theme="1"/>
        <rFont val="맑은 고딕"/>
        <family val="2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부천시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부광로</t>
    </r>
    <r>
      <rPr>
        <b/>
        <sz val="10"/>
        <color theme="1"/>
        <rFont val="Meiryo"/>
        <family val="2"/>
      </rPr>
      <t xml:space="preserve"> 8</t>
    </r>
    <r>
      <rPr>
        <b/>
        <sz val="10"/>
        <color theme="1"/>
        <rFont val="맑은 고딕"/>
        <family val="2"/>
        <charset val="129"/>
      </rPr>
      <t>번길</t>
    </r>
    <r>
      <rPr>
        <b/>
        <sz val="10"/>
        <color theme="1"/>
        <rFont val="Meiryo"/>
        <family val="2"/>
      </rPr>
      <t xml:space="preserve"> 26 1</t>
    </r>
    <r>
      <rPr>
        <b/>
        <sz val="10"/>
        <color theme="1"/>
        <rFont val="맑은 고딕"/>
        <family val="2"/>
        <charset val="129"/>
      </rPr>
      <t>층</t>
    </r>
    <r>
      <rPr>
        <b/>
        <sz val="10"/>
        <color theme="1"/>
        <rFont val="Meiryo"/>
        <family val="2"/>
      </rPr>
      <t xml:space="preserve"> 101</t>
    </r>
    <r>
      <rPr>
        <b/>
        <sz val="10"/>
        <color theme="1"/>
        <rFont val="맑은 고딕"/>
        <family val="2"/>
        <charset val="129"/>
      </rPr>
      <t>호</t>
    </r>
    <phoneticPr fontId="1" type="noConversion"/>
  </si>
  <si>
    <t>010-5858-0908</t>
    <phoneticPr fontId="1" type="noConversion"/>
  </si>
  <si>
    <t>분당</t>
    <phoneticPr fontId="1" type="noConversion"/>
  </si>
  <si>
    <t>분당국민은행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</si>
  <si>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성남시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분당구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성남대로</t>
    </r>
    <r>
      <rPr>
        <b/>
        <sz val="10"/>
        <color theme="1"/>
        <rFont val="Meiryo"/>
        <family val="2"/>
      </rPr>
      <t xml:space="preserve"> 906 2</t>
    </r>
    <r>
      <rPr>
        <b/>
        <sz val="10"/>
        <color theme="1"/>
        <rFont val="돋움"/>
        <family val="3"/>
        <charset val="129"/>
      </rPr>
      <t>층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국민은행</t>
    </r>
    <phoneticPr fontId="1" type="noConversion"/>
  </si>
  <si>
    <t>010-6217-0314</t>
    <phoneticPr fontId="1" type="noConversion"/>
  </si>
  <si>
    <t>서초</t>
    <phoneticPr fontId="1" type="noConversion"/>
  </si>
  <si>
    <t>서초남태령</t>
    <phoneticPr fontId="1" type="noConversion"/>
  </si>
  <si>
    <r>
      <rPr>
        <b/>
        <sz val="10"/>
        <color rgb="FF000000"/>
        <rFont val="돋움"/>
        <family val="3"/>
        <charset val="129"/>
      </rPr>
      <t>서울특별시</t>
    </r>
    <r>
      <rPr>
        <b/>
        <sz val="10"/>
        <color rgb="FF000000"/>
        <rFont val="Meiryo"/>
        <family val="2"/>
      </rPr>
      <t xml:space="preserve"> </t>
    </r>
    <r>
      <rPr>
        <b/>
        <sz val="10"/>
        <color rgb="FF000000"/>
        <rFont val="돋움"/>
        <family val="3"/>
        <charset val="129"/>
      </rPr>
      <t>서초구</t>
    </r>
    <r>
      <rPr>
        <b/>
        <sz val="10"/>
        <color rgb="FF000000"/>
        <rFont val="Meiryo"/>
        <family val="2"/>
      </rPr>
      <t xml:space="preserve"> </t>
    </r>
    <r>
      <rPr>
        <b/>
        <sz val="10"/>
        <color rgb="FF000000"/>
        <rFont val="돋움"/>
        <family val="3"/>
        <charset val="129"/>
      </rPr>
      <t>과천대로</t>
    </r>
    <r>
      <rPr>
        <b/>
        <sz val="10"/>
        <color rgb="FF000000"/>
        <rFont val="Meiryo"/>
        <family val="2"/>
      </rPr>
      <t xml:space="preserve"> 810</t>
    </r>
  </si>
  <si>
    <t>010-5311-6412</t>
    <phoneticPr fontId="1" type="noConversion"/>
  </si>
  <si>
    <t>성남</t>
    <phoneticPr fontId="1" type="noConversion"/>
  </si>
  <si>
    <t>성남대일후르츠</t>
    <phoneticPr fontId="1" type="noConversion"/>
  </si>
  <si>
    <r>
      <rPr>
        <b/>
        <sz val="10"/>
        <color theme="1"/>
        <rFont val="돋움"/>
        <family val="3"/>
        <charset val="129"/>
      </rPr>
      <t>성남시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수정구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금토동</t>
    </r>
    <r>
      <rPr>
        <b/>
        <sz val="10"/>
        <color theme="1"/>
        <rFont val="Meiryo"/>
        <family val="2"/>
      </rPr>
      <t xml:space="preserve"> 62-6</t>
    </r>
    <r>
      <rPr>
        <b/>
        <sz val="10"/>
        <color theme="1"/>
        <rFont val="돋움"/>
        <family val="3"/>
        <charset val="129"/>
      </rPr>
      <t>번지</t>
    </r>
    <r>
      <rPr>
        <b/>
        <sz val="10"/>
        <color theme="1"/>
        <rFont val="Meiryo"/>
        <family val="2"/>
      </rPr>
      <t xml:space="preserve"> </t>
    </r>
    <phoneticPr fontId="1" type="noConversion"/>
  </si>
  <si>
    <t>정대성</t>
    <phoneticPr fontId="1" type="noConversion"/>
  </si>
  <si>
    <t>010-4059-1641</t>
    <phoneticPr fontId="1" type="noConversion"/>
  </si>
  <si>
    <t>성남만나교회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</si>
  <si>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성남시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분당구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양현로</t>
    </r>
    <r>
      <rPr>
        <b/>
        <sz val="10"/>
        <color theme="1"/>
        <rFont val="Meiryo"/>
        <family val="2"/>
      </rPr>
      <t xml:space="preserve"> 353</t>
    </r>
    <phoneticPr fontId="1" type="noConversion"/>
  </si>
  <si>
    <t>성남어울림</t>
    <phoneticPr fontId="1" type="noConversion"/>
  </si>
  <si>
    <r>
      <rPr>
        <b/>
        <sz val="10"/>
        <color theme="1"/>
        <rFont val="맑은 고딕"/>
        <family val="2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성남시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중원구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상대원동</t>
    </r>
    <r>
      <rPr>
        <b/>
        <sz val="10"/>
        <color theme="1"/>
        <rFont val="Meiryo"/>
        <family val="2"/>
      </rPr>
      <t xml:space="preserve"> 234-1 </t>
    </r>
    <phoneticPr fontId="1" type="noConversion"/>
  </si>
  <si>
    <t>010-9261-1300</t>
    <phoneticPr fontId="1" type="noConversion"/>
  </si>
  <si>
    <t>성남에벤에셀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</si>
  <si>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성남시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중원구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은행동</t>
    </r>
    <r>
      <rPr>
        <b/>
        <sz val="10"/>
        <color theme="1"/>
        <rFont val="Meiryo"/>
        <family val="2"/>
      </rPr>
      <t xml:space="preserve"> 701</t>
    </r>
    <r>
      <rPr>
        <b/>
        <sz val="10"/>
        <color theme="1"/>
        <rFont val="돋움"/>
        <family val="3"/>
        <charset val="129"/>
      </rPr>
      <t>번지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거성빌딩</t>
    </r>
    <r>
      <rPr>
        <b/>
        <sz val="10"/>
        <color theme="1"/>
        <rFont val="Meiryo"/>
        <family val="2"/>
      </rPr>
      <t xml:space="preserve"> 1</t>
    </r>
    <r>
      <rPr>
        <b/>
        <sz val="10"/>
        <color theme="1"/>
        <rFont val="돋움"/>
        <family val="3"/>
        <charset val="129"/>
      </rPr>
      <t>층</t>
    </r>
    <r>
      <rPr>
        <b/>
        <sz val="10"/>
        <color theme="1"/>
        <rFont val="Meiryo"/>
        <family val="2"/>
      </rPr>
      <t xml:space="preserve"> </t>
    </r>
    <phoneticPr fontId="1" type="noConversion"/>
  </si>
  <si>
    <t>성남한가득</t>
    <phoneticPr fontId="1" type="noConversion"/>
  </si>
  <si>
    <r>
      <rPr>
        <b/>
        <sz val="10"/>
        <color theme="1"/>
        <rFont val="맑은 고딕"/>
        <family val="2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성남시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중원구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도촌로</t>
    </r>
    <r>
      <rPr>
        <b/>
        <sz val="10"/>
        <color theme="1"/>
        <rFont val="Meiryo"/>
        <family val="2"/>
      </rPr>
      <t>7</t>
    </r>
    <r>
      <rPr>
        <b/>
        <sz val="10"/>
        <color theme="1"/>
        <rFont val="맑은 고딕"/>
        <family val="2"/>
        <charset val="129"/>
      </rPr>
      <t>번길</t>
    </r>
    <r>
      <rPr>
        <b/>
        <sz val="10"/>
        <color theme="1"/>
        <rFont val="Meiryo"/>
        <family val="2"/>
      </rPr>
      <t xml:space="preserve"> 22-1</t>
    </r>
  </si>
  <si>
    <t>031-722-3390</t>
    <phoneticPr fontId="1" type="noConversion"/>
  </si>
  <si>
    <t>수원</t>
    <phoneticPr fontId="1" type="noConversion"/>
  </si>
  <si>
    <t>수원경기청과</t>
    <phoneticPr fontId="1" type="noConversion"/>
  </si>
  <si>
    <r>
      <rPr>
        <b/>
        <sz val="10"/>
        <color theme="1"/>
        <rFont val="맑은 고딕"/>
        <family val="2"/>
        <charset val="129"/>
      </rPr>
      <t>수원시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권선구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세권로</t>
    </r>
    <r>
      <rPr>
        <b/>
        <sz val="10"/>
        <color theme="1"/>
        <rFont val="Meiryo"/>
        <family val="2"/>
      </rPr>
      <t xml:space="preserve"> 243</t>
    </r>
    <phoneticPr fontId="1" type="noConversion"/>
  </si>
  <si>
    <t>031-236-3700</t>
    <phoneticPr fontId="1" type="noConversion"/>
  </si>
  <si>
    <t>순천</t>
    <phoneticPr fontId="1" type="noConversion"/>
  </si>
  <si>
    <t>순천순천원예농협</t>
    <phoneticPr fontId="1" type="noConversion"/>
  </si>
  <si>
    <t>전남 순천시 해룡면 월전리 9-1</t>
  </si>
  <si>
    <t>시흥</t>
    <phoneticPr fontId="1" type="noConversion"/>
  </si>
  <si>
    <t>시흥시흥청과</t>
    <phoneticPr fontId="1" type="noConversion"/>
  </si>
  <si>
    <r>
      <rPr>
        <b/>
        <sz val="10"/>
        <color theme="1"/>
        <rFont val="맑은 고딕"/>
        <family val="2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시흥시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방산동</t>
    </r>
    <r>
      <rPr>
        <b/>
        <sz val="10"/>
        <color theme="1"/>
        <rFont val="Meiryo"/>
        <family val="2"/>
      </rPr>
      <t xml:space="preserve"> 501 </t>
    </r>
    <r>
      <rPr>
        <b/>
        <sz val="10"/>
        <color theme="1"/>
        <rFont val="맑은 고딕"/>
        <family val="2"/>
        <charset val="129"/>
      </rPr>
      <t>시흥청과</t>
    </r>
    <phoneticPr fontId="1" type="noConversion"/>
  </si>
  <si>
    <t>성기현</t>
    <phoneticPr fontId="1" type="noConversion"/>
  </si>
  <si>
    <t>010-2316-2375</t>
    <phoneticPr fontId="1" type="noConversion"/>
  </si>
  <si>
    <t>시흥에벤에셀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</si>
  <si>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시흥시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광석동</t>
    </r>
    <r>
      <rPr>
        <b/>
        <sz val="10"/>
        <color theme="1"/>
        <rFont val="Meiryo"/>
        <family val="2"/>
      </rPr>
      <t xml:space="preserve"> 118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</si>
  <si>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t>010-2298-3234</t>
    <phoneticPr fontId="1" type="noConversion"/>
  </si>
  <si>
    <r>
      <rPr>
        <b/>
        <sz val="10"/>
        <color theme="1"/>
        <rFont val="돋움"/>
        <family val="3"/>
        <charset val="129"/>
      </rPr>
      <t>경기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시흥시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포동</t>
    </r>
    <r>
      <rPr>
        <b/>
        <sz val="10"/>
        <color theme="1"/>
        <rFont val="Meiryo"/>
        <family val="2"/>
      </rPr>
      <t xml:space="preserve"> 20-29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</si>
  <si>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t>시흥행운청과</t>
    <phoneticPr fontId="1" type="noConversion"/>
  </si>
  <si>
    <r>
      <rPr>
        <b/>
        <sz val="10"/>
        <color theme="1"/>
        <rFont val="돋움"/>
        <family val="3"/>
        <charset val="129"/>
      </rPr>
      <t>군자동</t>
    </r>
    <r>
      <rPr>
        <b/>
        <sz val="10"/>
        <color theme="1"/>
        <rFont val="Meiryo"/>
        <family val="2"/>
      </rPr>
      <t xml:space="preserve"> 94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</si>
  <si>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t>010-3738-6648</t>
    <phoneticPr fontId="1" type="noConversion"/>
  </si>
  <si>
    <r>
      <rPr>
        <b/>
        <sz val="10"/>
        <color theme="1"/>
        <rFont val="돋움"/>
        <family val="3"/>
        <charset val="129"/>
      </rPr>
      <t>경기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시흥시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군자동</t>
    </r>
    <r>
      <rPr>
        <b/>
        <sz val="10"/>
        <color theme="1"/>
        <rFont val="Meiryo"/>
        <family val="2"/>
      </rPr>
      <t xml:space="preserve"> 94</t>
    </r>
    <phoneticPr fontId="1" type="noConversion"/>
  </si>
  <si>
    <t>시흥황금물산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</si>
  <si>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시흥시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논곡동</t>
    </r>
    <r>
      <rPr>
        <b/>
        <sz val="10"/>
        <color theme="1"/>
        <rFont val="Meiryo"/>
        <family val="2"/>
      </rPr>
      <t xml:space="preserve"> 69-6 </t>
    </r>
    <phoneticPr fontId="1" type="noConversion"/>
  </si>
  <si>
    <t>010-7714-4488</t>
  </si>
  <si>
    <t>안산</t>
    <phoneticPr fontId="1" type="noConversion"/>
  </si>
  <si>
    <t>안산무진팜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</si>
  <si>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안산시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상록구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이동</t>
    </r>
    <r>
      <rPr>
        <b/>
        <sz val="10"/>
        <color theme="1"/>
        <rFont val="Meiryo"/>
        <family val="2"/>
      </rPr>
      <t xml:space="preserve"> 528</t>
    </r>
    <r>
      <rPr>
        <b/>
        <sz val="10"/>
        <color theme="1"/>
        <rFont val="돋움"/>
        <family val="3"/>
        <charset val="129"/>
      </rPr>
      <t>번지</t>
    </r>
  </si>
  <si>
    <t>안산안산청과</t>
    <phoneticPr fontId="1" type="noConversion"/>
  </si>
  <si>
    <r>
      <rPr>
        <b/>
        <sz val="10"/>
        <color theme="1"/>
        <rFont val="맑은 고딕"/>
        <family val="2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안산시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상록구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충장로</t>
    </r>
    <r>
      <rPr>
        <b/>
        <sz val="10"/>
        <color theme="1"/>
        <rFont val="Meiryo"/>
        <family val="2"/>
      </rPr>
      <t>312(</t>
    </r>
    <r>
      <rPr>
        <b/>
        <sz val="10"/>
        <color theme="1"/>
        <rFont val="맑은 고딕"/>
        <family val="2"/>
        <charset val="129"/>
      </rPr>
      <t>이동</t>
    </r>
    <r>
      <rPr>
        <b/>
        <sz val="10"/>
        <color theme="1"/>
        <rFont val="Meiryo"/>
        <family val="2"/>
      </rPr>
      <t>)</t>
    </r>
  </si>
  <si>
    <t>010-3731-2848</t>
    <phoneticPr fontId="1" type="noConversion"/>
  </si>
  <si>
    <t>안양</t>
    <phoneticPr fontId="1" type="noConversion"/>
  </si>
  <si>
    <t>안양영풍</t>
    <phoneticPr fontId="1" type="noConversion"/>
  </si>
  <si>
    <t>용인</t>
    <phoneticPr fontId="1" type="noConversion"/>
  </si>
  <si>
    <t>용인고당도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</si>
  <si>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용인시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처인구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역북동</t>
    </r>
    <r>
      <rPr>
        <b/>
        <sz val="10"/>
        <color theme="1"/>
        <rFont val="Meiryo"/>
        <family val="2"/>
      </rPr>
      <t xml:space="preserve"> 504-13 </t>
    </r>
    <r>
      <rPr>
        <b/>
        <sz val="10"/>
        <color theme="1"/>
        <rFont val="돋움"/>
        <family val="3"/>
        <charset val="129"/>
      </rPr>
      <t>고당도</t>
    </r>
    <phoneticPr fontId="1" type="noConversion"/>
  </si>
  <si>
    <t>010-7128-4914</t>
    <phoneticPr fontId="1" type="noConversion"/>
  </si>
  <si>
    <t>용인빅푸드인터네셔날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</si>
  <si>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용인시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기흥구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공세로</t>
    </r>
    <r>
      <rPr>
        <b/>
        <sz val="10"/>
        <color theme="1"/>
        <rFont val="Meiryo"/>
        <family val="2"/>
      </rPr>
      <t xml:space="preserve"> 22</t>
    </r>
    <phoneticPr fontId="1" type="noConversion"/>
  </si>
  <si>
    <t>음성</t>
    <phoneticPr fontId="1" type="noConversion"/>
  </si>
  <si>
    <t>음성과일향기</t>
    <phoneticPr fontId="1" type="noConversion"/>
  </si>
  <si>
    <r>
      <rPr>
        <b/>
        <sz val="10"/>
        <color theme="1"/>
        <rFont val="돋움"/>
        <family val="3"/>
        <charset val="129"/>
      </rPr>
      <t>충북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음성군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감곡면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오궁리</t>
    </r>
    <r>
      <rPr>
        <b/>
        <sz val="10"/>
        <color theme="1"/>
        <rFont val="Meiryo"/>
        <family val="2"/>
      </rPr>
      <t xml:space="preserve"> 163-2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</si>
  <si>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r>
      <rPr>
        <b/>
        <sz val="10"/>
        <color theme="1"/>
        <rFont val="돋움"/>
        <family val="3"/>
        <charset val="129"/>
      </rPr>
      <t>주간</t>
    </r>
    <r>
      <rPr>
        <b/>
        <sz val="10"/>
        <color theme="1"/>
        <rFont val="Meiryo"/>
        <family val="2"/>
      </rPr>
      <t>:</t>
    </r>
    <r>
      <rPr>
        <b/>
        <sz val="10"/>
        <color theme="1"/>
        <rFont val="돋움"/>
        <family val="3"/>
        <charset val="129"/>
      </rPr>
      <t>이희권</t>
    </r>
    <r>
      <rPr>
        <b/>
        <sz val="10"/>
        <color theme="1"/>
        <rFont val="Meiryo"/>
        <family val="2"/>
      </rPr>
      <t>/</t>
    </r>
    <r>
      <rPr>
        <b/>
        <sz val="10"/>
        <color theme="1"/>
        <rFont val="돋움"/>
        <family val="3"/>
        <charset val="129"/>
      </rPr>
      <t>야간</t>
    </r>
    <r>
      <rPr>
        <b/>
        <sz val="10"/>
        <color theme="1"/>
        <rFont val="Meiryo"/>
        <family val="2"/>
      </rPr>
      <t>:</t>
    </r>
    <r>
      <rPr>
        <b/>
        <sz val="10"/>
        <color theme="1"/>
        <rFont val="돋움"/>
        <family val="3"/>
        <charset val="129"/>
      </rPr>
      <t>서민호</t>
    </r>
    <phoneticPr fontId="1" type="noConversion"/>
  </si>
  <si>
    <r>
      <rPr>
        <b/>
        <sz val="10"/>
        <color theme="1"/>
        <rFont val="돋움"/>
        <family val="3"/>
        <charset val="129"/>
      </rPr>
      <t>주간</t>
    </r>
    <r>
      <rPr>
        <b/>
        <sz val="10"/>
        <color theme="1"/>
        <rFont val="Meiryo"/>
        <family val="2"/>
      </rPr>
      <t>:010-8450-5501</t>
    </r>
    <r>
      <rPr>
        <b/>
        <sz val="10"/>
        <color theme="1"/>
        <rFont val="돋움"/>
        <family val="3"/>
        <charset val="129"/>
      </rPr>
      <t>야간</t>
    </r>
    <r>
      <rPr>
        <b/>
        <sz val="10"/>
        <color theme="1"/>
        <rFont val="Meiryo"/>
        <family val="2"/>
      </rPr>
      <t>:010-4413-8868</t>
    </r>
    <phoneticPr fontId="1" type="noConversion"/>
  </si>
  <si>
    <t>이천</t>
    <phoneticPr fontId="1" type="noConversion"/>
  </si>
  <si>
    <r>
      <rPr>
        <b/>
        <sz val="10"/>
        <color theme="1"/>
        <rFont val="맑은 고딕"/>
        <family val="2"/>
        <charset val="129"/>
      </rPr>
      <t>이천</t>
    </r>
    <r>
      <rPr>
        <b/>
        <sz val="10"/>
        <color theme="1"/>
        <rFont val="Meiryo"/>
        <family val="2"/>
      </rPr>
      <t>GM</t>
    </r>
    <r>
      <rPr>
        <b/>
        <sz val="10"/>
        <color theme="1"/>
        <rFont val="맑은 고딕"/>
        <family val="2"/>
        <charset val="129"/>
      </rPr>
      <t>상회</t>
    </r>
    <phoneticPr fontId="1" type="noConversion"/>
  </si>
  <si>
    <r>
      <rPr>
        <b/>
        <sz val="10"/>
        <color theme="1"/>
        <rFont val="맑은 고딕"/>
        <family val="2"/>
        <charset val="129"/>
      </rPr>
      <t>이천시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증포동</t>
    </r>
    <r>
      <rPr>
        <b/>
        <sz val="10"/>
        <color theme="1"/>
        <rFont val="Meiryo"/>
        <family val="2"/>
      </rPr>
      <t xml:space="preserve"> 32-7(</t>
    </r>
    <r>
      <rPr>
        <b/>
        <sz val="10"/>
        <color theme="1"/>
        <rFont val="맑은 고딕"/>
        <family val="2"/>
        <charset val="129"/>
      </rPr>
      <t>이천시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증신로</t>
    </r>
    <r>
      <rPr>
        <b/>
        <sz val="10"/>
        <color theme="1"/>
        <rFont val="Meiryo"/>
        <family val="2"/>
      </rPr>
      <t xml:space="preserve"> 153</t>
    </r>
    <r>
      <rPr>
        <b/>
        <sz val="10"/>
        <color theme="1"/>
        <rFont val="맑은 고딕"/>
        <family val="2"/>
        <charset val="129"/>
      </rPr>
      <t>번길</t>
    </r>
    <r>
      <rPr>
        <b/>
        <sz val="10"/>
        <color theme="1"/>
        <rFont val="Meiryo"/>
        <family val="2"/>
      </rPr>
      <t xml:space="preserve"> 32-7)</t>
    </r>
    <phoneticPr fontId="1" type="noConversion"/>
  </si>
  <si>
    <t>010-3509-1276</t>
    <phoneticPr fontId="1" type="noConversion"/>
  </si>
  <si>
    <r>
      <rPr>
        <b/>
        <sz val="10"/>
        <color theme="1"/>
        <rFont val="돋움"/>
        <family val="3"/>
        <charset val="129"/>
      </rPr>
      <t>이천</t>
    </r>
    <r>
      <rPr>
        <b/>
        <sz val="10"/>
        <color theme="1"/>
        <rFont val="Meiryo"/>
        <family val="2"/>
      </rPr>
      <t/>
    </r>
    <phoneticPr fontId="1" type="noConversion"/>
  </si>
  <si>
    <t>이천동우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</si>
  <si>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이천시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마장면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이치리</t>
    </r>
    <r>
      <rPr>
        <b/>
        <sz val="10"/>
        <color theme="1"/>
        <rFont val="Meiryo"/>
        <family val="2"/>
      </rPr>
      <t xml:space="preserve"> 446-3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</si>
  <si>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r>
      <rPr>
        <b/>
        <sz val="10"/>
        <color theme="1"/>
        <rFont val="돋움"/>
        <family val="3"/>
        <charset val="129"/>
      </rPr>
      <t>이천</t>
    </r>
    <r>
      <rPr>
        <b/>
        <sz val="10"/>
        <color theme="1"/>
        <rFont val="Meiryo"/>
        <family val="2"/>
      </rPr>
      <t>(</t>
    </r>
    <r>
      <rPr>
        <b/>
        <sz val="10"/>
        <color theme="1"/>
        <rFont val="돋움"/>
        <family val="3"/>
        <charset val="129"/>
      </rPr>
      <t>익일오전</t>
    </r>
    <r>
      <rPr>
        <b/>
        <sz val="10"/>
        <color theme="1"/>
        <rFont val="Meiryo"/>
        <family val="2"/>
      </rPr>
      <t>)</t>
    </r>
    <phoneticPr fontId="1" type="noConversion"/>
  </si>
  <si>
    <t>이천(익일오전)동우</t>
    <phoneticPr fontId="1" type="noConversion"/>
  </si>
  <si>
    <t>경기도 이천시 마장면 이치리 446-3번지</t>
  </si>
  <si>
    <t>이천신평아이엔티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</si>
  <si>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이천시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신둔면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용면리</t>
    </r>
    <r>
      <rPr>
        <b/>
        <sz val="10"/>
        <color theme="1"/>
        <rFont val="Meiryo"/>
        <family val="2"/>
      </rPr>
      <t xml:space="preserve"> 72-29</t>
    </r>
    <phoneticPr fontId="1" type="noConversion"/>
  </si>
  <si>
    <t>010-8764-6764</t>
    <phoneticPr fontId="1" type="noConversion"/>
  </si>
  <si>
    <t>인천</t>
    <phoneticPr fontId="1" type="noConversion"/>
  </si>
  <si>
    <t>인천경인농산</t>
    <phoneticPr fontId="1" type="noConversion"/>
  </si>
  <si>
    <r>
      <rPr>
        <b/>
        <sz val="10"/>
        <color theme="1"/>
        <rFont val="돋움"/>
        <family val="3"/>
        <charset val="129"/>
      </rPr>
      <t>인천시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부평구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삼산동</t>
    </r>
    <r>
      <rPr>
        <b/>
        <sz val="10"/>
        <color theme="1"/>
        <rFont val="Meiryo"/>
        <family val="2"/>
      </rPr>
      <t xml:space="preserve"> 7</t>
    </r>
    <phoneticPr fontId="1" type="noConversion"/>
  </si>
  <si>
    <t>032-507-6800</t>
    <phoneticPr fontId="1" type="noConversion"/>
  </si>
  <si>
    <t>인천남촌덕풍청과</t>
    <phoneticPr fontId="1" type="noConversion"/>
  </si>
  <si>
    <r>
      <rPr>
        <b/>
        <sz val="10"/>
        <color theme="1"/>
        <rFont val="돋움"/>
        <family val="3"/>
        <charset val="129"/>
      </rPr>
      <t>인천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남동구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비류대로</t>
    </r>
    <r>
      <rPr>
        <b/>
        <sz val="10"/>
        <color theme="1"/>
        <rFont val="Meiryo"/>
        <family val="2"/>
      </rPr>
      <t xml:space="preserve"> 763(</t>
    </r>
    <r>
      <rPr>
        <b/>
        <sz val="10"/>
        <color theme="1"/>
        <rFont val="돋움"/>
        <family val="3"/>
        <charset val="129"/>
      </rPr>
      <t>남촌동</t>
    </r>
    <r>
      <rPr>
        <b/>
        <sz val="10"/>
        <color theme="1"/>
        <rFont val="Meiryo"/>
        <family val="2"/>
      </rPr>
      <t>177-1)</t>
    </r>
    <phoneticPr fontId="1" type="noConversion"/>
  </si>
  <si>
    <t>인천남촌인천농산물</t>
    <phoneticPr fontId="1" type="noConversion"/>
  </si>
  <si>
    <t>032-421-3765</t>
  </si>
  <si>
    <t>인천원예농협</t>
    <phoneticPr fontId="1" type="noConversion"/>
  </si>
  <si>
    <t>010-9062-8585</t>
    <phoneticPr fontId="1" type="noConversion"/>
  </si>
  <si>
    <t>인천인천원협</t>
    <phoneticPr fontId="1" type="noConversion"/>
  </si>
  <si>
    <r>
      <rPr>
        <b/>
        <sz val="10"/>
        <color theme="1"/>
        <rFont val="돋움"/>
        <family val="3"/>
        <charset val="129"/>
      </rPr>
      <t>인천시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부평구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삼산동</t>
    </r>
    <r>
      <rPr>
        <b/>
        <sz val="10"/>
        <color theme="1"/>
        <rFont val="Meiryo"/>
        <family val="2"/>
      </rPr>
      <t xml:space="preserve"> 7-1</t>
    </r>
  </si>
  <si>
    <t>인천한일농산</t>
    <phoneticPr fontId="1" type="noConversion"/>
  </si>
  <si>
    <r>
      <rPr>
        <b/>
        <sz val="10"/>
        <color theme="1"/>
        <rFont val="돋움"/>
        <family val="3"/>
        <charset val="129"/>
      </rPr>
      <t>인천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남구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석정로</t>
    </r>
    <r>
      <rPr>
        <b/>
        <sz val="10"/>
        <color theme="1"/>
        <rFont val="Meiryo"/>
        <family val="2"/>
      </rPr>
      <t xml:space="preserve"> 102</t>
    </r>
    <r>
      <rPr>
        <b/>
        <sz val="10"/>
        <color theme="1"/>
        <rFont val="돋움"/>
        <family val="3"/>
        <charset val="129"/>
      </rPr>
      <t>번길</t>
    </r>
    <r>
      <rPr>
        <b/>
        <sz val="10"/>
        <color theme="1"/>
        <rFont val="Meiryo"/>
        <family val="2"/>
      </rPr>
      <t xml:space="preserve"> 10 </t>
    </r>
    <r>
      <rPr>
        <b/>
        <sz val="10"/>
        <color theme="1"/>
        <rFont val="돋움"/>
        <family val="3"/>
        <charset val="129"/>
      </rPr>
      <t>한일농산</t>
    </r>
    <r>
      <rPr>
        <b/>
        <sz val="10"/>
        <color theme="1"/>
        <rFont val="Meiryo"/>
        <family val="2"/>
      </rPr>
      <t xml:space="preserve"> </t>
    </r>
    <phoneticPr fontId="1" type="noConversion"/>
  </si>
  <si>
    <t>010-2953-4847</t>
  </si>
  <si>
    <t>인천숭의동</t>
    <phoneticPr fontId="1" type="noConversion"/>
  </si>
  <si>
    <r>
      <rPr>
        <b/>
        <sz val="10"/>
        <color theme="1"/>
        <rFont val="돋움"/>
        <family val="3"/>
        <charset val="129"/>
      </rPr>
      <t>인천시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남구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숭의동</t>
    </r>
    <r>
      <rPr>
        <b/>
        <sz val="10"/>
        <color theme="1"/>
        <rFont val="Meiryo"/>
        <family val="2"/>
      </rPr>
      <t>81-6</t>
    </r>
    <phoneticPr fontId="1" type="noConversion"/>
  </si>
  <si>
    <t>노조반장</t>
    <phoneticPr fontId="1" type="noConversion"/>
  </si>
  <si>
    <t>010 8442 2050</t>
    <phoneticPr fontId="1" type="noConversion"/>
  </si>
  <si>
    <t>일산</t>
    <phoneticPr fontId="1" type="noConversion"/>
  </si>
  <si>
    <t>일산망고세상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</si>
  <si>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고양시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일산동구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설문동</t>
    </r>
    <r>
      <rPr>
        <b/>
        <sz val="10"/>
        <color theme="1"/>
        <rFont val="Meiryo"/>
        <family val="2"/>
      </rPr>
      <t xml:space="preserve"> 1149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</si>
  <si>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t>전남광주</t>
    <phoneticPr fontId="1" type="noConversion"/>
  </si>
  <si>
    <t>전남광주무등시설원</t>
    <phoneticPr fontId="1" type="noConversion"/>
  </si>
  <si>
    <r>
      <rPr>
        <b/>
        <sz val="10"/>
        <color theme="1"/>
        <rFont val="돋움"/>
        <family val="3"/>
        <charset val="129"/>
      </rPr>
      <t>광주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남구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구소동</t>
    </r>
    <r>
      <rPr>
        <b/>
        <sz val="10"/>
        <color theme="1"/>
        <rFont val="Meiryo"/>
        <family val="2"/>
      </rPr>
      <t xml:space="preserve"> 384-1 </t>
    </r>
    <phoneticPr fontId="1" type="noConversion"/>
  </si>
  <si>
    <t>조인배</t>
    <phoneticPr fontId="1" type="noConversion"/>
  </si>
  <si>
    <t>011-9956-1410</t>
    <phoneticPr fontId="1" type="noConversion"/>
  </si>
  <si>
    <t>전남광주서부농협</t>
    <phoneticPr fontId="1" type="noConversion"/>
  </si>
  <si>
    <r>
      <rPr>
        <b/>
        <sz val="10"/>
        <color theme="1"/>
        <rFont val="돋움"/>
        <family val="3"/>
        <charset val="129"/>
      </rPr>
      <t>광주광역시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서구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매월</t>
    </r>
    <r>
      <rPr>
        <b/>
        <sz val="10"/>
        <color theme="1"/>
        <rFont val="Meiryo"/>
        <family val="2"/>
      </rPr>
      <t>2</t>
    </r>
    <r>
      <rPr>
        <b/>
        <sz val="10"/>
        <color theme="1"/>
        <rFont val="돋움"/>
        <family val="3"/>
        <charset val="129"/>
      </rPr>
      <t>로</t>
    </r>
    <r>
      <rPr>
        <b/>
        <sz val="10"/>
        <color theme="1"/>
        <rFont val="Meiryo"/>
        <family val="2"/>
      </rPr>
      <t xml:space="preserve"> 16</t>
    </r>
    <r>
      <rPr>
        <b/>
        <sz val="10"/>
        <color theme="1"/>
        <rFont val="돋움"/>
        <family val="3"/>
        <charset val="129"/>
      </rPr>
      <t>번길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서부농산물도매시장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내</t>
    </r>
    <r>
      <rPr>
        <b/>
        <sz val="10"/>
        <color theme="1"/>
        <rFont val="Meiryo"/>
        <family val="2"/>
      </rPr>
      <t xml:space="preserve"> (062-651-4900)</t>
    </r>
    <phoneticPr fontId="1" type="noConversion"/>
  </si>
  <si>
    <r>
      <rPr>
        <b/>
        <sz val="10"/>
        <color theme="1"/>
        <rFont val="돋움"/>
        <family val="3"/>
        <charset val="129"/>
      </rPr>
      <t>정유호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과장</t>
    </r>
    <phoneticPr fontId="1" type="noConversion"/>
  </si>
  <si>
    <t>010-3648-3483</t>
    <phoneticPr fontId="1" type="noConversion"/>
  </si>
  <si>
    <t>전주</t>
    <phoneticPr fontId="1" type="noConversion"/>
  </si>
  <si>
    <t>전주과일사랑</t>
    <phoneticPr fontId="1" type="noConversion"/>
  </si>
  <si>
    <r>
      <rPr>
        <b/>
        <sz val="10"/>
        <color theme="1"/>
        <rFont val="돋움"/>
        <family val="3"/>
        <charset val="129"/>
      </rPr>
      <t>전북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완주군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삼례읍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해전리</t>
    </r>
    <r>
      <rPr>
        <b/>
        <sz val="10"/>
        <color theme="1"/>
        <rFont val="Meiryo"/>
        <family val="2"/>
      </rPr>
      <t xml:space="preserve"> 232-1 ,</t>
    </r>
    <r>
      <rPr>
        <b/>
        <sz val="10"/>
        <color theme="1"/>
        <rFont val="돋움"/>
        <family val="3"/>
        <charset val="129"/>
      </rPr>
      <t>과일사랑창고</t>
    </r>
    <phoneticPr fontId="1" type="noConversion"/>
  </si>
  <si>
    <t>010-3653-8722</t>
    <phoneticPr fontId="1" type="noConversion"/>
  </si>
  <si>
    <t>전주다농마트</t>
    <phoneticPr fontId="1" type="noConversion"/>
  </si>
  <si>
    <r>
      <rPr>
        <b/>
        <sz val="10"/>
        <color theme="1"/>
        <rFont val="돋움"/>
        <family val="3"/>
        <charset val="129"/>
      </rPr>
      <t>전북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전주시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덕진구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시천로</t>
    </r>
    <r>
      <rPr>
        <b/>
        <sz val="10"/>
        <color theme="1"/>
        <rFont val="Meiryo"/>
        <family val="2"/>
      </rPr>
      <t xml:space="preserve"> 96-14</t>
    </r>
    <phoneticPr fontId="1" type="noConversion"/>
  </si>
  <si>
    <t>전주전주농협</t>
    <phoneticPr fontId="1" type="noConversion"/>
  </si>
  <si>
    <r>
      <rPr>
        <b/>
        <sz val="10"/>
        <color theme="1"/>
        <rFont val="맑은 고딕"/>
        <family val="2"/>
        <charset val="129"/>
      </rPr>
      <t>전주시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완산구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삼천동</t>
    </r>
    <r>
      <rPr>
        <b/>
        <sz val="10"/>
        <color theme="1"/>
        <rFont val="Meiryo"/>
        <family val="2"/>
      </rPr>
      <t xml:space="preserve"> 2</t>
    </r>
    <r>
      <rPr>
        <b/>
        <sz val="10"/>
        <color theme="1"/>
        <rFont val="맑은 고딕"/>
        <family val="2"/>
        <charset val="129"/>
      </rPr>
      <t>가</t>
    </r>
    <r>
      <rPr>
        <b/>
        <sz val="10"/>
        <color theme="1"/>
        <rFont val="Meiryo"/>
        <family val="2"/>
      </rPr>
      <t xml:space="preserve"> 18</t>
    </r>
    <phoneticPr fontId="1" type="noConversion"/>
  </si>
  <si>
    <t>전주한백상사</t>
  </si>
  <si>
    <t>전주시 덕진구 우아동 3가 754-9 (도당산로4)</t>
  </si>
  <si>
    <t>한백사모님</t>
    <phoneticPr fontId="1" type="noConversion"/>
  </si>
  <si>
    <t>010-2847-0129</t>
    <phoneticPr fontId="1" type="noConversion"/>
  </si>
  <si>
    <t>진주</t>
    <phoneticPr fontId="1" type="noConversion"/>
  </si>
  <si>
    <t>진주진주원예</t>
    <phoneticPr fontId="1" type="noConversion"/>
  </si>
  <si>
    <t xml:space="preserve">진주시 남강로 1689(처존동) </t>
  </si>
  <si>
    <t>055-759-5678</t>
  </si>
  <si>
    <t>창원</t>
    <phoneticPr fontId="1" type="noConversion"/>
  </si>
  <si>
    <t>창원농협창원공판장</t>
    <phoneticPr fontId="1" type="noConversion"/>
  </si>
  <si>
    <r>
      <rPr>
        <b/>
        <sz val="10"/>
        <color theme="1"/>
        <rFont val="돋움"/>
        <family val="3"/>
        <charset val="129"/>
      </rPr>
      <t>경남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창원시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의창구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차상로</t>
    </r>
    <r>
      <rPr>
        <b/>
        <sz val="10"/>
        <color theme="1"/>
        <rFont val="Meiryo"/>
        <family val="2"/>
      </rPr>
      <t xml:space="preserve"> 18</t>
    </r>
    <r>
      <rPr>
        <b/>
        <sz val="10"/>
        <color theme="1"/>
        <rFont val="돋움"/>
        <family val="3"/>
        <charset val="129"/>
      </rPr>
      <t>번길</t>
    </r>
    <r>
      <rPr>
        <b/>
        <sz val="10"/>
        <color theme="1"/>
        <rFont val="Meiryo"/>
        <family val="2"/>
      </rPr>
      <t xml:space="preserve"> 45 </t>
    </r>
    <phoneticPr fontId="1" type="noConversion"/>
  </si>
  <si>
    <t>055-288-2131</t>
  </si>
  <si>
    <t>천안</t>
    <phoneticPr fontId="1" type="noConversion"/>
  </si>
  <si>
    <t>천안영풍</t>
    <phoneticPr fontId="1" type="noConversion"/>
  </si>
  <si>
    <t xml:space="preserve">충남 천안시 서북구 성환읍 안궁2길 8 </t>
  </si>
  <si>
    <t>010-9180-6029</t>
  </si>
  <si>
    <t>청주</t>
    <phoneticPr fontId="1" type="noConversion"/>
  </si>
  <si>
    <t>청주청주원협</t>
  </si>
  <si>
    <t>청주시 흥덕구 봉명2동 2210</t>
  </si>
  <si>
    <t>043-266-3114</t>
    <phoneticPr fontId="1" type="noConversion"/>
  </si>
  <si>
    <t>충주</t>
    <phoneticPr fontId="1" type="noConversion"/>
  </si>
  <si>
    <t>충주충주원협</t>
    <phoneticPr fontId="1" type="noConversion"/>
  </si>
  <si>
    <r>
      <rPr>
        <b/>
        <sz val="10"/>
        <color rgb="FF000000"/>
        <rFont val="돋움"/>
        <family val="3"/>
        <charset val="129"/>
      </rPr>
      <t>충청북도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돋움"/>
        <family val="3"/>
        <charset val="129"/>
      </rPr>
      <t>충주시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돋움"/>
        <family val="3"/>
        <charset val="129"/>
      </rPr>
      <t>목행동</t>
    </r>
    <r>
      <rPr>
        <b/>
        <sz val="10"/>
        <color rgb="FF000000"/>
        <rFont val="Meiryo"/>
        <family val="2"/>
        <charset val="128"/>
      </rPr>
      <t xml:space="preserve"> 426-4 </t>
    </r>
  </si>
  <si>
    <t>043-853-6858</t>
    <phoneticPr fontId="1" type="noConversion"/>
  </si>
  <si>
    <t>포항</t>
    <phoneticPr fontId="1" type="noConversion"/>
  </si>
  <si>
    <t>포항하늘사랑</t>
    <phoneticPr fontId="1" type="noConversion"/>
  </si>
  <si>
    <r>
      <rPr>
        <b/>
        <sz val="10"/>
        <color theme="1"/>
        <rFont val="돋움"/>
        <family val="3"/>
        <charset val="129"/>
      </rPr>
      <t>포항시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북구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기계면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지가리</t>
    </r>
    <r>
      <rPr>
        <b/>
        <sz val="10"/>
        <color theme="1"/>
        <rFont val="Meiryo"/>
        <family val="2"/>
      </rPr>
      <t xml:space="preserve"> 1071-1 </t>
    </r>
    <phoneticPr fontId="1" type="noConversion"/>
  </si>
  <si>
    <t>010-5756-9707</t>
  </si>
  <si>
    <t>하남</t>
    <phoneticPr fontId="1" type="noConversion"/>
  </si>
  <si>
    <t>하남과일향기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</si>
  <si>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하남시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감북동</t>
    </r>
    <r>
      <rPr>
        <b/>
        <sz val="10"/>
        <color theme="1"/>
        <rFont val="Meiryo"/>
        <family val="2"/>
      </rPr>
      <t xml:space="preserve"> 339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</si>
  <si>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t>화성</t>
    <phoneticPr fontId="1" type="noConversion"/>
  </si>
  <si>
    <t>화성국제유통</t>
    <phoneticPr fontId="1" type="noConversion"/>
  </si>
  <si>
    <r>
      <rPr>
        <b/>
        <sz val="10"/>
        <color theme="1"/>
        <rFont val="맑은 고딕"/>
        <family val="2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화성시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정남면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내향로</t>
    </r>
    <r>
      <rPr>
        <b/>
        <sz val="10"/>
        <color theme="1"/>
        <rFont val="Meiryo"/>
        <family val="2"/>
      </rPr>
      <t xml:space="preserve"> 56</t>
    </r>
    <phoneticPr fontId="1" type="noConversion"/>
  </si>
  <si>
    <t>070-4176-4077</t>
    <phoneticPr fontId="1" type="noConversion"/>
  </si>
  <si>
    <t>전남</t>
    <phoneticPr fontId="1" type="noConversion"/>
  </si>
  <si>
    <t>전남담양수민수산</t>
    <phoneticPr fontId="1" type="noConversion"/>
  </si>
  <si>
    <r>
      <rPr>
        <b/>
        <sz val="10"/>
        <color theme="1"/>
        <rFont val="돋움"/>
        <family val="3"/>
        <charset val="129"/>
      </rPr>
      <t>전라남도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담양군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봉산면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면앙정로</t>
    </r>
    <r>
      <rPr>
        <b/>
        <sz val="10"/>
        <color theme="1"/>
        <rFont val="Meiryo"/>
        <family val="2"/>
      </rPr>
      <t xml:space="preserve"> 355-5</t>
    </r>
    <phoneticPr fontId="1" type="noConversion"/>
  </si>
  <si>
    <t>010-9297-6679</t>
    <phoneticPr fontId="1" type="noConversion"/>
  </si>
  <si>
    <t>광주유가한중유통</t>
    <phoneticPr fontId="1" type="noConversion"/>
  </si>
  <si>
    <r>
      <rPr>
        <b/>
        <sz val="10"/>
        <color theme="1"/>
        <rFont val="돋움"/>
        <family val="3"/>
        <charset val="129"/>
      </rPr>
      <t>광주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북구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용봉동</t>
    </r>
    <r>
      <rPr>
        <b/>
        <sz val="10"/>
        <color theme="1"/>
        <rFont val="Meiryo"/>
        <family val="2"/>
      </rPr>
      <t>1227-1</t>
    </r>
    <phoneticPr fontId="1" type="noConversion"/>
  </si>
  <si>
    <t>010-2423-6221</t>
    <phoneticPr fontId="1" type="noConversion"/>
  </si>
  <si>
    <t>완주</t>
    <phoneticPr fontId="1" type="noConversion"/>
  </si>
  <si>
    <t>완주옐로우팜</t>
    <phoneticPr fontId="1" type="noConversion"/>
  </si>
  <si>
    <r>
      <rPr>
        <b/>
        <sz val="10"/>
        <color theme="1"/>
        <rFont val="돋움"/>
        <family val="3"/>
        <charset val="129"/>
      </rPr>
      <t>전북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완주군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용진읍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상운길</t>
    </r>
    <r>
      <rPr>
        <b/>
        <sz val="10"/>
        <color theme="1"/>
        <rFont val="Meiryo"/>
        <family val="2"/>
      </rPr>
      <t xml:space="preserve"> 46-10</t>
    </r>
    <phoneticPr fontId="1" type="noConversion"/>
  </si>
  <si>
    <t>010-9357-0930</t>
    <phoneticPr fontId="1" type="noConversion"/>
  </si>
  <si>
    <t>가락동화누리</t>
    <phoneticPr fontId="1" type="noConversion"/>
  </si>
  <si>
    <r>
      <rPr>
        <b/>
        <sz val="10"/>
        <color rgb="FF000000"/>
        <rFont val="돋움"/>
        <family val="3"/>
        <charset val="129"/>
      </rPr>
      <t>서울시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돋움"/>
        <family val="3"/>
        <charset val="129"/>
      </rPr>
      <t>송파구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돋움"/>
        <family val="3"/>
        <charset val="129"/>
      </rPr>
      <t>양재대로</t>
    </r>
    <r>
      <rPr>
        <b/>
        <sz val="10"/>
        <color rgb="FF000000"/>
        <rFont val="Meiryo"/>
        <family val="2"/>
        <charset val="128"/>
      </rPr>
      <t xml:space="preserve"> 932 (</t>
    </r>
    <r>
      <rPr>
        <b/>
        <sz val="10"/>
        <color rgb="FF000000"/>
        <rFont val="돋움"/>
        <family val="3"/>
        <charset val="129"/>
      </rPr>
      <t>가락동</t>
    </r>
    <r>
      <rPr>
        <b/>
        <sz val="10"/>
        <color rgb="FF000000"/>
        <rFont val="Meiryo"/>
        <family val="2"/>
        <charset val="128"/>
      </rPr>
      <t>)</t>
    </r>
  </si>
  <si>
    <t>가락한국농심</t>
    <phoneticPr fontId="1" type="noConversion"/>
  </si>
  <si>
    <r>
      <rPr>
        <b/>
        <sz val="10"/>
        <color theme="1"/>
        <rFont val="돋움"/>
        <family val="3"/>
        <charset val="129"/>
      </rPr>
      <t>서울시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송파구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양재대로</t>
    </r>
    <r>
      <rPr>
        <b/>
        <sz val="10"/>
        <color theme="1"/>
        <rFont val="Meiryo"/>
        <family val="2"/>
      </rPr>
      <t xml:space="preserve"> 932 (</t>
    </r>
    <r>
      <rPr>
        <b/>
        <sz val="10"/>
        <color theme="1"/>
        <rFont val="돋움"/>
        <family val="3"/>
        <charset val="129"/>
      </rPr>
      <t>가락동</t>
    </r>
    <r>
      <rPr>
        <b/>
        <sz val="10"/>
        <color theme="1"/>
        <rFont val="Meiryo"/>
        <family val="2"/>
      </rPr>
      <t>)</t>
    </r>
    <phoneticPr fontId="1" type="noConversion"/>
  </si>
  <si>
    <t>광주각화중앙청과</t>
    <phoneticPr fontId="1" type="noConversion"/>
  </si>
  <si>
    <t xml:space="preserve">광주광역시 북구 동문대로 260 </t>
  </si>
  <si>
    <t>062-528-6311</t>
    <phoneticPr fontId="1" type="noConversion"/>
  </si>
  <si>
    <t>시흥행복촌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</si>
  <si>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시흥시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군자동</t>
    </r>
    <r>
      <rPr>
        <b/>
        <sz val="10"/>
        <color theme="1"/>
        <rFont val="Meiryo"/>
        <family val="2"/>
      </rPr>
      <t xml:space="preserve"> 94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</si>
  <si>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t>010.3738.6648</t>
    <phoneticPr fontId="1" type="noConversion"/>
  </si>
  <si>
    <t>시흥행복촌(광명유통송장)</t>
    <phoneticPr fontId="1" type="noConversion"/>
  </si>
  <si>
    <t>광주중앙청과</t>
    <phoneticPr fontId="1" type="noConversion"/>
  </si>
  <si>
    <r>
      <rPr>
        <b/>
        <sz val="10"/>
        <color theme="1"/>
        <rFont val="돋움"/>
        <family val="3"/>
        <charset val="129"/>
      </rPr>
      <t>광주광역시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북구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동문대로</t>
    </r>
    <r>
      <rPr>
        <b/>
        <sz val="10"/>
        <color theme="1"/>
        <rFont val="Meiryo"/>
        <family val="2"/>
      </rPr>
      <t xml:space="preserve"> 260 (</t>
    </r>
    <r>
      <rPr>
        <b/>
        <sz val="10"/>
        <color theme="1"/>
        <rFont val="돋움"/>
        <family val="3"/>
        <charset val="129"/>
      </rPr>
      <t>우</t>
    </r>
    <r>
      <rPr>
        <b/>
        <sz val="10"/>
        <color theme="1"/>
        <rFont val="Meiryo"/>
        <family val="2"/>
      </rPr>
      <t>)61138</t>
    </r>
    <phoneticPr fontId="1" type="noConversion"/>
  </si>
  <si>
    <t>청량리</t>
    <phoneticPr fontId="1" type="noConversion"/>
  </si>
  <si>
    <t>대구유통</t>
  </si>
  <si>
    <t>동대문구 경동시장 6길 14</t>
  </si>
  <si>
    <t>010-2953-4847</t>
    <phoneticPr fontId="1" type="noConversion"/>
  </si>
  <si>
    <t>광주하진</t>
    <phoneticPr fontId="1" type="noConversion"/>
  </si>
  <si>
    <r>
      <rPr>
        <b/>
        <sz val="10"/>
        <color rgb="FF000000"/>
        <rFont val="돋움"/>
        <family val="3"/>
        <charset val="129"/>
      </rPr>
      <t>광주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돋움"/>
        <family val="3"/>
        <charset val="129"/>
      </rPr>
      <t>서구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돋움"/>
        <family val="3"/>
        <charset val="129"/>
      </rPr>
      <t>매월동</t>
    </r>
    <r>
      <rPr>
        <b/>
        <sz val="10"/>
        <color rgb="FF000000"/>
        <rFont val="Meiryo"/>
        <family val="2"/>
        <charset val="128"/>
      </rPr>
      <t xml:space="preserve"> 952-16</t>
    </r>
    <r>
      <rPr>
        <b/>
        <sz val="10"/>
        <color rgb="FF000000"/>
        <rFont val="돋움"/>
        <family val="3"/>
        <charset val="129"/>
      </rPr>
      <t>번지</t>
    </r>
  </si>
  <si>
    <r>
      <rPr>
        <b/>
        <sz val="10"/>
        <color theme="1"/>
        <rFont val="돋움"/>
        <family val="3"/>
        <charset val="129"/>
      </rPr>
      <t>남양주과일창고</t>
    </r>
    <r>
      <rPr>
        <b/>
        <sz val="10"/>
        <color theme="1"/>
        <rFont val="Meiryo"/>
        <family val="2"/>
      </rPr>
      <t>(</t>
    </r>
    <r>
      <rPr>
        <b/>
        <sz val="10"/>
        <color theme="1"/>
        <rFont val="돋움"/>
        <family val="3"/>
        <charset val="129"/>
      </rPr>
      <t>인우</t>
    </r>
    <r>
      <rPr>
        <b/>
        <sz val="10"/>
        <color theme="1"/>
        <rFont val="Meiryo"/>
        <family val="2"/>
      </rPr>
      <t>)</t>
    </r>
    <phoneticPr fontId="1" type="noConversion"/>
  </si>
  <si>
    <r>
      <t>남양주시</t>
    </r>
    <r>
      <rPr>
        <b/>
        <sz val="13"/>
        <color theme="1"/>
        <rFont val="Meiryo"/>
        <family val="2"/>
      </rPr>
      <t xml:space="preserve"> </t>
    </r>
    <r>
      <rPr>
        <b/>
        <sz val="13"/>
        <color theme="1"/>
        <rFont val="돋움"/>
        <family val="3"/>
        <charset val="129"/>
      </rPr>
      <t>화도읍</t>
    </r>
    <r>
      <rPr>
        <b/>
        <sz val="13"/>
        <color theme="1"/>
        <rFont val="Meiryo"/>
        <family val="2"/>
      </rPr>
      <t xml:space="preserve"> </t>
    </r>
    <r>
      <rPr>
        <b/>
        <sz val="13"/>
        <color theme="1"/>
        <rFont val="돋움"/>
        <family val="3"/>
        <charset val="129"/>
      </rPr>
      <t>구암리</t>
    </r>
    <r>
      <rPr>
        <b/>
        <sz val="13"/>
        <color theme="1"/>
        <rFont val="Meiryo"/>
        <family val="2"/>
      </rPr>
      <t xml:space="preserve"> 430-2 </t>
    </r>
    <r>
      <rPr>
        <b/>
        <sz val="13"/>
        <color theme="1"/>
        <rFont val="돋움"/>
        <family val="3"/>
        <charset val="129"/>
      </rPr>
      <t>과일창고</t>
    </r>
  </si>
  <si>
    <t>010 3469 3825</t>
  </si>
  <si>
    <t>충북</t>
    <phoneticPr fontId="1" type="noConversion"/>
  </si>
  <si>
    <r>
      <rPr>
        <b/>
        <sz val="10"/>
        <color theme="1"/>
        <rFont val="돋움"/>
        <family val="3"/>
        <charset val="129"/>
      </rPr>
      <t>충북음성</t>
    </r>
    <r>
      <rPr>
        <b/>
        <sz val="10"/>
        <color theme="1"/>
        <rFont val="Meiryo"/>
        <family val="2"/>
      </rPr>
      <t>gs</t>
    </r>
    <phoneticPr fontId="1" type="noConversion"/>
  </si>
  <si>
    <r>
      <rPr>
        <b/>
        <sz val="10"/>
        <color theme="1"/>
        <rFont val="돋움"/>
        <family val="3"/>
        <charset val="129"/>
      </rPr>
      <t>서울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강서구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발산로</t>
    </r>
    <r>
      <rPr>
        <b/>
        <sz val="10"/>
        <color theme="1"/>
        <rFont val="Meiryo"/>
        <family val="2"/>
      </rPr>
      <t xml:space="preserve"> 40 </t>
    </r>
    <r>
      <rPr>
        <b/>
        <sz val="10"/>
        <color theme="1"/>
        <rFont val="돋움"/>
        <family val="3"/>
        <charset val="129"/>
      </rPr>
      <t>직판장</t>
    </r>
    <r>
      <rPr>
        <b/>
        <sz val="10"/>
        <color theme="1"/>
        <rFont val="Meiryo"/>
        <family val="2"/>
      </rPr>
      <t xml:space="preserve"> D</t>
    </r>
    <r>
      <rPr>
        <b/>
        <sz val="10"/>
        <color theme="1"/>
        <rFont val="돋움"/>
        <family val="3"/>
        <charset val="129"/>
      </rPr>
      <t>동</t>
    </r>
    <r>
      <rPr>
        <b/>
        <sz val="10"/>
        <color theme="1"/>
        <rFont val="Meiryo"/>
        <family val="2"/>
      </rPr>
      <t xml:space="preserve"> 36</t>
    </r>
    <r>
      <rPr>
        <b/>
        <sz val="10"/>
        <color theme="1"/>
        <rFont val="돋움"/>
        <family val="3"/>
        <charset val="129"/>
      </rPr>
      <t>호</t>
    </r>
    <phoneticPr fontId="1" type="noConversion"/>
  </si>
  <si>
    <t>043-877-5678</t>
    <phoneticPr fontId="1" type="noConversion"/>
  </si>
  <si>
    <t>강서성심</t>
    <phoneticPr fontId="1" type="noConversion"/>
  </si>
  <si>
    <t>서울 강서구 발산로 40 직판장 D동 36호</t>
  </si>
  <si>
    <t>010-7122-4280</t>
    <phoneticPr fontId="1" type="noConversion"/>
  </si>
  <si>
    <t>김포스위트컴퍼니</t>
    <phoneticPr fontId="1" type="noConversion"/>
  </si>
  <si>
    <r>
      <rPr>
        <b/>
        <sz val="10"/>
        <color rgb="FF000000"/>
        <rFont val="돋움"/>
        <family val="3"/>
        <charset val="129"/>
      </rPr>
      <t>김포대로</t>
    </r>
    <r>
      <rPr>
        <b/>
        <sz val="10"/>
        <color rgb="FF000000"/>
        <rFont val="Meiryo"/>
        <family val="2"/>
        <charset val="128"/>
      </rPr>
      <t xml:space="preserve"> 1188 </t>
    </r>
    <r>
      <rPr>
        <b/>
        <sz val="10"/>
        <color rgb="FF000000"/>
        <rFont val="돋움"/>
        <family val="3"/>
        <charset val="129"/>
      </rPr>
      <t>스위트컴퍼니</t>
    </r>
  </si>
  <si>
    <t>010-7661-1048</t>
    <phoneticPr fontId="1" type="noConversion"/>
  </si>
  <si>
    <t>김포스위트망고</t>
    <phoneticPr fontId="1" type="noConversion"/>
  </si>
  <si>
    <r>
      <rPr>
        <b/>
        <sz val="10"/>
        <color theme="1"/>
        <rFont val="돋움"/>
        <family val="3"/>
        <charset val="129"/>
      </rPr>
      <t>김포대로</t>
    </r>
    <r>
      <rPr>
        <b/>
        <sz val="10"/>
        <color theme="1"/>
        <rFont val="Meiryo"/>
        <family val="2"/>
      </rPr>
      <t xml:space="preserve"> 1188 </t>
    </r>
    <r>
      <rPr>
        <b/>
        <sz val="10"/>
        <color theme="1"/>
        <rFont val="돋움"/>
        <family val="3"/>
        <charset val="129"/>
      </rPr>
      <t>스위트컴퍼니</t>
    </r>
    <phoneticPr fontId="1" type="noConversion"/>
  </si>
  <si>
    <t>고양</t>
    <phoneticPr fontId="1" type="noConversion"/>
  </si>
  <si>
    <t>고양엠에이치유통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</si>
  <si>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고양시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일산동구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성현로</t>
    </r>
    <r>
      <rPr>
        <b/>
        <sz val="10"/>
        <color theme="1"/>
        <rFont val="Meiryo"/>
        <family val="2"/>
      </rPr>
      <t xml:space="preserve"> 496</t>
    </r>
    <phoneticPr fontId="1" type="noConversion"/>
  </si>
  <si>
    <t>010-8729-7986</t>
    <phoneticPr fontId="1" type="noConversion"/>
  </si>
  <si>
    <t>화성동호유통</t>
    <phoneticPr fontId="1" type="noConversion"/>
  </si>
  <si>
    <r>
      <rPr>
        <b/>
        <sz val="13"/>
        <color theme="1"/>
        <rFont val="돋움"/>
        <family val="3"/>
        <charset val="129"/>
      </rPr>
      <t>경기도</t>
    </r>
    <r>
      <rPr>
        <b/>
        <sz val="13"/>
        <color theme="1"/>
        <rFont val="Meiryo"/>
        <family val="2"/>
      </rPr>
      <t xml:space="preserve"> </t>
    </r>
    <r>
      <rPr>
        <b/>
        <sz val="13"/>
        <color theme="1"/>
        <rFont val="돋움"/>
        <family val="3"/>
        <charset val="129"/>
      </rPr>
      <t>화성시</t>
    </r>
    <r>
      <rPr>
        <b/>
        <sz val="13"/>
        <color theme="1"/>
        <rFont val="Meiryo"/>
        <family val="2"/>
      </rPr>
      <t xml:space="preserve"> </t>
    </r>
    <r>
      <rPr>
        <b/>
        <sz val="13"/>
        <color theme="1"/>
        <rFont val="돋움"/>
        <family val="3"/>
        <charset val="129"/>
      </rPr>
      <t>봉담읍</t>
    </r>
    <r>
      <rPr>
        <b/>
        <sz val="13"/>
        <color theme="1"/>
        <rFont val="Meiryo"/>
        <family val="2"/>
      </rPr>
      <t xml:space="preserve"> </t>
    </r>
    <r>
      <rPr>
        <b/>
        <sz val="13"/>
        <color theme="1"/>
        <rFont val="돋움"/>
        <family val="3"/>
        <charset val="129"/>
      </rPr>
      <t>시청로</t>
    </r>
    <r>
      <rPr>
        <b/>
        <sz val="13"/>
        <color theme="1"/>
        <rFont val="Meiryo"/>
        <family val="2"/>
      </rPr>
      <t xml:space="preserve"> 1498</t>
    </r>
    <r>
      <rPr>
        <b/>
        <sz val="13"/>
        <color theme="1"/>
        <rFont val="돋움"/>
        <family val="3"/>
        <charset val="129"/>
      </rPr>
      <t>번</t>
    </r>
    <r>
      <rPr>
        <b/>
        <sz val="13"/>
        <color theme="1"/>
        <rFont val="Meiryo"/>
        <family val="2"/>
      </rPr>
      <t xml:space="preserve"> </t>
    </r>
    <r>
      <rPr>
        <b/>
        <sz val="13"/>
        <color theme="1"/>
        <rFont val="돋움"/>
        <family val="3"/>
        <charset val="129"/>
      </rPr>
      <t>동호유통</t>
    </r>
    <phoneticPr fontId="1" type="noConversion"/>
  </si>
  <si>
    <t>010-3622-2031</t>
    <phoneticPr fontId="1" type="noConversion"/>
  </si>
  <si>
    <t>강서티에프</t>
    <phoneticPr fontId="1" type="noConversion"/>
  </si>
  <si>
    <r>
      <rPr>
        <b/>
        <sz val="10"/>
        <color theme="1"/>
        <rFont val="돋움"/>
        <family val="3"/>
        <charset val="129"/>
      </rPr>
      <t>서울시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강서구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발산로</t>
    </r>
    <r>
      <rPr>
        <b/>
        <sz val="10"/>
        <color theme="1"/>
        <rFont val="Meiryo"/>
        <family val="2"/>
      </rPr>
      <t xml:space="preserve"> 40 </t>
    </r>
    <r>
      <rPr>
        <b/>
        <sz val="10"/>
        <color theme="1"/>
        <rFont val="돋움"/>
        <family val="3"/>
        <charset val="129"/>
      </rPr>
      <t>강서농산물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도매시장</t>
    </r>
    <r>
      <rPr>
        <b/>
        <sz val="10"/>
        <color theme="1"/>
        <rFont val="Meiryo"/>
        <family val="2"/>
      </rPr>
      <t xml:space="preserve"> E</t>
    </r>
    <r>
      <rPr>
        <b/>
        <sz val="10"/>
        <color theme="1"/>
        <rFont val="돋움"/>
        <family val="3"/>
        <charset val="129"/>
      </rPr>
      <t>동</t>
    </r>
    <r>
      <rPr>
        <b/>
        <sz val="10"/>
        <color theme="1"/>
        <rFont val="Meiryo"/>
        <family val="2"/>
      </rPr>
      <t xml:space="preserve"> 50</t>
    </r>
    <r>
      <rPr>
        <b/>
        <sz val="10"/>
        <color theme="1"/>
        <rFont val="돋움"/>
        <family val="3"/>
        <charset val="129"/>
      </rPr>
      <t>호</t>
    </r>
    <r>
      <rPr>
        <b/>
        <sz val="10"/>
        <color theme="1"/>
        <rFont val="Meiryo"/>
        <family val="2"/>
      </rPr>
      <t xml:space="preserve"> </t>
    </r>
    <phoneticPr fontId="1" type="noConversion"/>
  </si>
  <si>
    <t>010 6396 0631</t>
  </si>
  <si>
    <r>
      <rPr>
        <b/>
        <sz val="10"/>
        <color theme="1"/>
        <rFont val="돋움"/>
        <family val="3"/>
        <charset val="129"/>
      </rPr>
      <t>이천동우</t>
    </r>
    <r>
      <rPr>
        <b/>
        <sz val="10"/>
        <color theme="1"/>
        <rFont val="Meiryo"/>
        <family val="2"/>
      </rPr>
      <t>(</t>
    </r>
    <r>
      <rPr>
        <b/>
        <sz val="10"/>
        <color theme="1"/>
        <rFont val="돋움"/>
        <family val="3"/>
        <charset val="129"/>
      </rPr>
      <t>내일오전착</t>
    </r>
    <r>
      <rPr>
        <b/>
        <sz val="10"/>
        <color theme="1"/>
        <rFont val="Meiryo"/>
        <family val="2"/>
      </rPr>
      <t>)</t>
    </r>
    <phoneticPr fontId="1" type="noConversion"/>
  </si>
  <si>
    <t>안양푸르미</t>
    <phoneticPr fontId="1" type="noConversion"/>
  </si>
  <si>
    <t>경기도 안양시 동안구 흥안대로 313 안양농산물 청과동 78번 푸르미</t>
  </si>
  <si>
    <t>광암 사무실 하차 문의 (1층)</t>
  </si>
  <si>
    <t>광주중앙</t>
    <phoneticPr fontId="1" type="noConversion"/>
  </si>
  <si>
    <t>순천순천원협</t>
    <phoneticPr fontId="1" type="noConversion"/>
  </si>
  <si>
    <r>
      <rPr>
        <b/>
        <sz val="10"/>
        <color theme="1"/>
        <rFont val="돋움"/>
        <family val="3"/>
        <charset val="129"/>
      </rPr>
      <t>전남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순천시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해룡면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월전리</t>
    </r>
    <r>
      <rPr>
        <b/>
        <sz val="10"/>
        <color theme="1"/>
        <rFont val="Meiryo"/>
        <family val="2"/>
      </rPr>
      <t xml:space="preserve"> 9-1</t>
    </r>
    <phoneticPr fontId="1" type="noConversion"/>
  </si>
  <si>
    <t>태안</t>
    <phoneticPr fontId="1" type="noConversion"/>
  </si>
  <si>
    <t>태안영풍</t>
    <phoneticPr fontId="1" type="noConversion"/>
  </si>
  <si>
    <r>
      <rPr>
        <b/>
        <sz val="10"/>
        <color theme="1"/>
        <rFont val="돋움"/>
        <family val="3"/>
        <charset val="129"/>
      </rPr>
      <t>태안군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태안읍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삼한길</t>
    </r>
    <r>
      <rPr>
        <b/>
        <sz val="10"/>
        <color theme="1"/>
        <rFont val="Meiryo"/>
        <family val="2"/>
      </rPr>
      <t xml:space="preserve"> 135</t>
    </r>
    <phoneticPr fontId="1" type="noConversion"/>
  </si>
  <si>
    <t>010-9939-0611</t>
    <phoneticPr fontId="1" type="noConversion"/>
  </si>
  <si>
    <t>부산성민</t>
    <phoneticPr fontId="1" type="noConversion"/>
  </si>
  <si>
    <t>청량리</t>
  </si>
  <si>
    <t>남양유통</t>
  </si>
  <si>
    <t xml:space="preserve">서울시 동대문구 경동시장로 2길 30 </t>
  </si>
  <si>
    <t>02-966-2765</t>
  </si>
  <si>
    <t>서울</t>
  </si>
  <si>
    <t>청호농산</t>
  </si>
  <si>
    <t>nf</t>
  </si>
  <si>
    <t>NF통상</t>
  </si>
  <si>
    <t>진주시 남강로 1689 nf통상</t>
  </si>
  <si>
    <t>두성푸르츠</t>
  </si>
  <si>
    <t>서울시 송파구 양재대로 932 (가락동)</t>
  </si>
  <si>
    <t>광주</t>
  </si>
  <si>
    <t>호남청과</t>
  </si>
  <si>
    <t>광주광역시 서구 매월2로 16번길 서부농산물도매시장</t>
  </si>
  <si>
    <t xml:space="preserve">강서 </t>
  </si>
  <si>
    <t>송복</t>
  </si>
  <si>
    <t>발산로40 강서농협공판장  송복상회 225호</t>
  </si>
  <si>
    <t>대구(성주)</t>
  </si>
  <si>
    <t>비타민테이블</t>
  </si>
  <si>
    <t>경상북도 성주군 대가면 대가금산3길 7-12(성주)</t>
  </si>
  <si>
    <t>황금</t>
  </si>
  <si>
    <t>하남</t>
  </si>
  <si>
    <t>이화원</t>
  </si>
  <si>
    <t xml:space="preserve">경기도 하남시 항동 133 </t>
  </si>
  <si>
    <t>조성배</t>
  </si>
  <si>
    <t>인천</t>
  </si>
  <si>
    <t>대인농산</t>
  </si>
  <si>
    <t>과일아지매</t>
  </si>
  <si>
    <t>인천광역시 남동구 수산동 482</t>
  </si>
  <si>
    <t>영등포</t>
  </si>
  <si>
    <t>스마일팜</t>
  </si>
  <si>
    <t xml:space="preserve">서울시 영등포구 영등포로 167-1 1층 </t>
  </si>
  <si>
    <t>황준성</t>
  </si>
  <si>
    <t>용인</t>
  </si>
  <si>
    <t>에이통상</t>
  </si>
  <si>
    <t>경기도 용인시 처인구 이동읍 덕성산단 2로 76번길 36</t>
  </si>
  <si>
    <t>010-4822-1273</t>
  </si>
  <si>
    <t>동탄</t>
  </si>
  <si>
    <t>오잘공과일</t>
  </si>
  <si>
    <t xml:space="preserve">경기도 화성시 영천동 763-3 1층 </t>
  </si>
  <si>
    <t>010-3934-1801</t>
  </si>
  <si>
    <t>김제</t>
  </si>
  <si>
    <t>삼우통상</t>
  </si>
  <si>
    <t>전북 김제시 용지면  부교리 195-5</t>
  </si>
  <si>
    <t>010-8651-0062</t>
  </si>
  <si>
    <t>호준후레쉬팜</t>
  </si>
  <si>
    <t xml:space="preserve">서울시 송파구 양재대로 932 (가락동) </t>
  </si>
  <si>
    <t>임시열</t>
  </si>
  <si>
    <t>010-4619-2954</t>
  </si>
  <si>
    <t>송탄</t>
  </si>
  <si>
    <t>바로이마트</t>
  </si>
  <si>
    <t>경기도 평택시 탄현로 391</t>
  </si>
  <si>
    <t>010 9213 6244</t>
  </si>
  <si>
    <t>대구</t>
  </si>
  <si>
    <t>웰빙과일야채</t>
  </si>
  <si>
    <t>대구시 달성군 농곱읍 논공로 24길 17-1 웰빙과일야채</t>
  </si>
  <si>
    <t>010-8795-4775</t>
  </si>
  <si>
    <t>하나의팜</t>
  </si>
  <si>
    <t>광주광역시 북구 동문대로260  중앙청과</t>
  </si>
  <si>
    <t>이상훈대표</t>
  </si>
  <si>
    <t>남양</t>
  </si>
  <si>
    <t>서울 특별시 영등포구 당산동1가 191-11</t>
  </si>
  <si>
    <t>010-7757-7517</t>
  </si>
  <si>
    <t>탑후르츠</t>
  </si>
  <si>
    <t>서울시 강서구 발산로 40 강서농수산물도매시장 F동</t>
  </si>
  <si>
    <t>010-5287-0678</t>
  </si>
  <si>
    <t>더섬김</t>
  </si>
  <si>
    <t xml:space="preserve">전북 김제시 용지면 콩쥐팥쥐로 715 주 1동 </t>
  </si>
  <si>
    <t>010-2486-0449</t>
  </si>
  <si>
    <t>성심당</t>
  </si>
  <si>
    <t>대전시 대덕구 오정동 332-1번지 성심당 물류센터</t>
  </si>
  <si>
    <t>010-9396-9345</t>
  </si>
  <si>
    <t>이천</t>
  </si>
  <si>
    <t>정진에프피시</t>
  </si>
  <si>
    <t>경기도 이천시 부발읍 두무재로 79번길 76</t>
  </si>
  <si>
    <t>010 4763 8508</t>
  </si>
  <si>
    <t>안산</t>
  </si>
  <si>
    <t>준마트</t>
  </si>
  <si>
    <t>안산시 단원구 원곡동 793-26번지 1층 준마트</t>
  </si>
  <si>
    <t>010-6745-0128</t>
  </si>
  <si>
    <t>대림</t>
  </si>
  <si>
    <t>대림 CU</t>
  </si>
  <si>
    <t>대림동 1048-8</t>
  </si>
  <si>
    <t>010-4290-5121</t>
  </si>
  <si>
    <t>한스</t>
  </si>
  <si>
    <t>경기도 안양시 동안구 시민대로 401 b111호 (카고만가능)</t>
  </si>
  <si>
    <t>010-7211-2693</t>
  </si>
  <si>
    <t>안동</t>
  </si>
  <si>
    <t>동원</t>
  </si>
  <si>
    <t>안동시 풍산읍 본마을길 60</t>
  </si>
  <si>
    <t>010-5067-3541</t>
  </si>
  <si>
    <t>광주청과</t>
  </si>
  <si>
    <t>광주 북구 동문대로 260</t>
  </si>
  <si>
    <t>김해</t>
  </si>
  <si>
    <t>김해시 부곡동 100-4</t>
  </si>
  <si>
    <t>장수</t>
  </si>
  <si>
    <t>크레아팜</t>
  </si>
  <si>
    <t xml:space="preserve">전북 장수군 장수읍 장수로1959 장수신농영농조합 </t>
  </si>
  <si>
    <t>전대호 대표</t>
  </si>
  <si>
    <t>포항</t>
  </si>
  <si>
    <t>철길유통</t>
  </si>
  <si>
    <t>철길유통 울산 북구 지당3길 7</t>
  </si>
  <si>
    <t>신용호대표</t>
  </si>
  <si>
    <t>부산</t>
  </si>
  <si>
    <t>보람푸드</t>
  </si>
  <si>
    <t>부산광역시 사상구 학감대로191번길 16 A동</t>
  </si>
  <si>
    <t>010-8746-1009</t>
  </si>
  <si>
    <t>주식회사 하츠(사우스)</t>
  </si>
  <si>
    <t>경기도 안양시 동안구 관악대로 450(관양동)</t>
  </si>
  <si>
    <t>홍연주</t>
  </si>
  <si>
    <t>010-7579-4626</t>
  </si>
  <si>
    <t>평택</t>
  </si>
  <si>
    <t>서림유통(중앙식자재 평택)</t>
  </si>
  <si>
    <t xml:space="preserve">경기도 평택시 문화촌로 33 </t>
  </si>
  <si>
    <t>박용환 점장</t>
  </si>
  <si>
    <t>010-3232-6546</t>
  </si>
  <si>
    <t xml:space="preserve">디에스글로벌 </t>
  </si>
  <si>
    <t xml:space="preserve">광주 북구 연제동 1038-7번지 디에스글로벌 </t>
  </si>
  <si>
    <t>오민석</t>
  </si>
  <si>
    <t>010-8929-0780</t>
  </si>
  <si>
    <t>전주</t>
  </si>
  <si>
    <t>해피유통(선라이트)</t>
  </si>
  <si>
    <t xml:space="preserve">전북 전주시 덕진구 동부대로1181 원예농협 7번 </t>
  </si>
  <si>
    <t xml:space="preserve">이원진 </t>
  </si>
  <si>
    <t>010-3114-5859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</si>
</sst>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mm&quot;월&quot;\ dd&quot;일&quot;"/>
    <numFmt numFmtId="177" formatCode="[$-F800]dddd\,\ mmmm\ dd\,\ yyyy"/>
    <numFmt numFmtId="178" formatCode="0&quot;과&quot;"/>
    <numFmt numFmtId="179" formatCode="000\-000"/>
    <numFmt numFmtId="180" formatCode="0&quot;kg&quot;"/>
    <numFmt numFmtId="181" formatCode="0.00&quot;kg&quot;"/>
    <numFmt numFmtId="182" formatCode="0&quot;수&quot;"/>
  </numFmts>
  <fonts count="4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돋움"/>
      <family val="3"/>
      <charset val="129"/>
    </font>
    <font>
      <b/>
      <sz val="13"/>
      <color theme="1"/>
      <name val="Meiryo"/>
      <family val="2"/>
    </font>
    <font>
      <sz val="11"/>
      <color theme="1"/>
      <name val="맑은 고딕"/>
      <family val="2"/>
      <charset val="129"/>
      <scheme val="minor"/>
    </font>
    <font>
      <sz val="10"/>
      <color theme="1"/>
      <name val="Meiryo"/>
      <family val="2"/>
      <charset val="128"/>
    </font>
    <font>
      <b/>
      <sz val="10"/>
      <color theme="1"/>
      <name val="Meiryo"/>
      <family val="2"/>
      <charset val="128"/>
    </font>
    <font>
      <b/>
      <sz val="10"/>
      <color theme="1"/>
      <name val="Meiryo"/>
      <family val="2"/>
    </font>
    <font>
      <b/>
      <sz val="10"/>
      <color theme="1"/>
      <name val="돋움"/>
      <family val="3"/>
      <charset val="129"/>
    </font>
    <font>
      <b/>
      <sz val="10"/>
      <color theme="1"/>
      <name val="맑은 고딕"/>
      <family val="2"/>
      <charset val="129"/>
    </font>
    <font>
      <b/>
      <sz val="10"/>
      <color rgb="FF000000"/>
      <name val="Meiryo"/>
      <family val="2"/>
    </font>
    <font>
      <b/>
      <sz val="10"/>
      <color rgb="FF000000"/>
      <name val="돋움"/>
      <family val="3"/>
      <charset val="129"/>
    </font>
    <font>
      <b/>
      <sz val="10"/>
      <color rgb="FF000000"/>
      <name val="Meiryo"/>
      <family val="2"/>
      <charset val="128"/>
    </font>
    <font>
      <b/>
      <sz val="10"/>
      <color rgb="FF000000"/>
      <name val="맑은 고딕"/>
      <family val="3"/>
      <charset val="129"/>
    </font>
    <font>
      <b/>
      <sz val="20"/>
      <color theme="1"/>
      <name val="Meiryo"/>
      <family val="2"/>
    </font>
    <font>
      <b/>
      <sz val="20"/>
      <color rgb="FFFF0000"/>
      <name val="Meiryo"/>
      <family val="2"/>
    </font>
    <font>
      <b/>
      <sz val="20"/>
      <name val="Meiryo"/>
      <family val="2"/>
    </font>
    <font>
      <b/>
      <sz val="10"/>
      <color rgb="FF000000"/>
      <name val="굴림"/>
      <family val="3"/>
      <charset val="129"/>
    </font>
    <font>
      <b/>
      <sz val="20"/>
      <color rgb="FF000000"/>
      <name val="Meiryo"/>
      <family val="2"/>
    </font>
    <font>
      <b/>
      <sz val="20"/>
      <color theme="1"/>
      <name val="Meiryo"/>
      <family val="2"/>
      <charset val="128"/>
    </font>
    <font>
      <b/>
      <sz val="20"/>
      <color theme="1"/>
      <name val="돋움"/>
      <family val="3"/>
      <charset val="129"/>
    </font>
    <font>
      <b/>
      <sz val="24"/>
      <name val="맑은 고딕"/>
      <family val="3"/>
      <charset val="129"/>
      <scheme val="major"/>
    </font>
    <font>
      <b/>
      <sz val="20"/>
      <color rgb="FFFF0000"/>
      <name val="돋움"/>
      <family val="3"/>
      <charset val="129"/>
    </font>
    <font>
      <b/>
      <sz val="20"/>
      <name val="Meiryo"/>
      <family val="2"/>
      <charset val="128"/>
    </font>
    <font>
      <b/>
      <sz val="10"/>
      <color theme="1"/>
      <name val="돋움"/>
      <family val="3"/>
    </font>
    <font>
      <b/>
      <sz val="13"/>
      <color theme="1"/>
      <name val="Meiryo"/>
      <family val="2"/>
      <charset val="128"/>
    </font>
    <font>
      <b/>
      <sz val="13"/>
      <color theme="1"/>
      <name val="돋움"/>
      <family val="3"/>
    </font>
    <font>
      <b/>
      <sz val="20"/>
      <name val="맑은 고딕"/>
      <family val="2"/>
      <charset val="129"/>
    </font>
    <font>
      <b/>
      <sz val="20"/>
      <name val="Meiryo"/>
    </font>
    <font>
      <b/>
      <sz val="20"/>
      <color theme="1"/>
      <name val="Meiryo"/>
    </font>
    <font>
      <b/>
      <sz val="10"/>
      <color theme="1"/>
      <name val="Noto Sans KR"/>
      <family val="3"/>
      <charset val="129"/>
    </font>
    <font>
      <b/>
      <sz val="10"/>
      <color theme="1"/>
      <name val="Meiryo"/>
    </font>
    <font>
      <b/>
      <sz val="26"/>
      <color theme="1"/>
      <name val="Meiryo"/>
      <family val="2"/>
    </font>
    <font>
      <b/>
      <sz val="28"/>
      <color theme="1"/>
      <name val="Meiryo"/>
      <family val="2"/>
    </font>
    <font>
      <b/>
      <sz val="28"/>
      <color rgb="FF000000"/>
      <name val="Meiryo"/>
      <family val="2"/>
      <charset val="128"/>
    </font>
    <font>
      <b/>
      <sz val="24"/>
      <color theme="1"/>
      <name val="Meiryo"/>
      <family val="2"/>
      <charset val="128"/>
    </font>
    <font>
      <b/>
      <sz val="24"/>
      <color theme="1"/>
      <name val="Meiryo"/>
      <family val="2"/>
    </font>
    <font>
      <b/>
      <sz val="24"/>
      <name val="맑은 고딕"/>
      <family val="3"/>
      <scheme val="major"/>
    </font>
    <font>
      <b/>
      <sz val="26"/>
      <color theme="1"/>
      <name val="Meiryo"/>
    </font>
    <font>
      <b/>
      <sz val="20"/>
      <color theme="1"/>
      <name val="Meiryo"/>
      <charset val="128"/>
    </font>
    <font>
      <b/>
      <sz val="24"/>
      <color theme="1"/>
      <name val="Meiryo"/>
    </font>
    <font>
      <b/>
      <sz val="26"/>
      <color rgb="FF000000"/>
      <name val="Meiryo"/>
      <family val="2"/>
    </font>
    <font>
      <b/>
      <sz val="26"/>
      <color rgb="FF000000"/>
      <name val="Meiryo"/>
    </font>
    <font>
      <b/>
      <sz val="24"/>
      <color theme="1"/>
      <name val="Meiryo"/>
      <charset val="128"/>
    </font>
    <font>
      <b/>
      <sz val="26"/>
      <color theme="1"/>
      <name val="Meiryo"/>
      <charset val="128"/>
    </font>
    <font>
      <b/>
      <sz val="26"/>
      <color theme="1"/>
      <name val="Meiryo"/>
      <family val="2"/>
      <charset val="128"/>
    </font>
    <font>
      <b/>
      <sz val="20"/>
      <color theme="0"/>
      <name val="Meiryo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295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6" xfId="0" applyFont="1" applyBorder="1">
      <alignment vertical="center"/>
    </xf>
    <xf numFmtId="178" fontId="5" fillId="0" borderId="6" xfId="0" applyNumberFormat="1" applyFont="1" applyBorder="1">
      <alignment vertical="center"/>
    </xf>
    <xf numFmtId="180" fontId="5" fillId="0" borderId="6" xfId="0" applyNumberFormat="1" applyFont="1" applyBorder="1">
      <alignment vertical="center"/>
    </xf>
    <xf numFmtId="181" fontId="5" fillId="0" borderId="6" xfId="0" applyNumberFormat="1" applyFont="1" applyBorder="1">
      <alignment vertical="center"/>
    </xf>
    <xf numFmtId="181" fontId="5" fillId="10" borderId="6" xfId="0" applyNumberFormat="1" applyFont="1" applyFill="1" applyBorder="1">
      <alignment vertical="center"/>
    </xf>
    <xf numFmtId="181" fontId="5" fillId="8" borderId="6" xfId="0" applyNumberFormat="1" applyFont="1" applyFill="1" applyBorder="1">
      <alignment vertical="center"/>
    </xf>
    <xf numFmtId="181" fontId="5" fillId="9" borderId="6" xfId="0" applyNumberFormat="1" applyFont="1" applyFill="1" applyBorder="1">
      <alignment vertical="center"/>
    </xf>
    <xf numFmtId="181" fontId="5" fillId="11" borderId="6" xfId="0" applyNumberFormat="1" applyFont="1" applyFill="1" applyBorder="1">
      <alignment vertical="center"/>
    </xf>
    <xf numFmtId="181" fontId="5" fillId="12" borderId="6" xfId="0" applyNumberFormat="1" applyFont="1" applyFill="1" applyBorder="1">
      <alignment vertical="center"/>
    </xf>
    <xf numFmtId="181" fontId="5" fillId="13" borderId="6" xfId="0" applyNumberFormat="1" applyFont="1" applyFill="1" applyBorder="1">
      <alignment vertical="center"/>
    </xf>
    <xf numFmtId="0" fontId="6" fillId="8" borderId="3" xfId="0" applyFont="1" applyFill="1" applyBorder="1" applyAlignment="1">
      <alignment horizontal="left" vertical="center" shrinkToFit="1"/>
    </xf>
    <xf numFmtId="0" fontId="7" fillId="8" borderId="2" xfId="0" applyFont="1" applyFill="1" applyBorder="1" applyAlignment="1">
      <alignment horizontal="left" vertical="center" shrinkToFit="1"/>
    </xf>
    <xf numFmtId="0" fontId="7" fillId="8" borderId="21" xfId="0" applyFont="1" applyFill="1" applyBorder="1" applyAlignment="1">
      <alignment horizontal="left" vertical="center" shrinkToFit="1"/>
    </xf>
    <xf numFmtId="0" fontId="7" fillId="8" borderId="5" xfId="0" applyFont="1" applyFill="1" applyBorder="1" applyAlignment="1">
      <alignment horizontal="left" vertical="center" shrinkToFit="1"/>
    </xf>
    <xf numFmtId="0" fontId="7" fillId="8" borderId="13" xfId="0" applyFont="1" applyFill="1" applyBorder="1" applyAlignment="1">
      <alignment horizontal="left" vertical="center" shrinkToFit="1"/>
    </xf>
    <xf numFmtId="0" fontId="7" fillId="0" borderId="0" xfId="0" applyFont="1" applyAlignment="1">
      <alignment horizontal="left" vertical="center" shrinkToFit="1"/>
    </xf>
    <xf numFmtId="0" fontId="7" fillId="0" borderId="22" xfId="0" applyFont="1" applyBorder="1" applyAlignment="1">
      <alignment horizontal="left" vertical="center" shrinkToFit="1"/>
    </xf>
    <xf numFmtId="0" fontId="7" fillId="0" borderId="11" xfId="0" applyFont="1" applyBorder="1" applyAlignment="1">
      <alignment horizontal="left" vertical="center" shrinkToFit="1"/>
    </xf>
    <xf numFmtId="0" fontId="7" fillId="0" borderId="23" xfId="0" applyFont="1" applyBorder="1" applyAlignment="1">
      <alignment horizontal="left" vertical="center" shrinkToFit="1"/>
    </xf>
    <xf numFmtId="0" fontId="7" fillId="0" borderId="7" xfId="0" applyFont="1" applyBorder="1" applyAlignment="1">
      <alignment horizontal="left" vertical="center" shrinkToFit="1"/>
    </xf>
    <xf numFmtId="0" fontId="7" fillId="0" borderId="24" xfId="0" applyFont="1" applyBorder="1" applyAlignment="1">
      <alignment horizontal="left" vertical="center" shrinkToFit="1"/>
    </xf>
    <xf numFmtId="0" fontId="7" fillId="0" borderId="9" xfId="0" applyFont="1" applyBorder="1" applyAlignment="1">
      <alignment horizontal="left" vertical="center" shrinkToFit="1"/>
    </xf>
    <xf numFmtId="0" fontId="7" fillId="0" borderId="25" xfId="0" applyFont="1" applyBorder="1" applyAlignment="1">
      <alignment horizontal="left" vertical="center" shrinkToFit="1"/>
    </xf>
    <xf numFmtId="0" fontId="7" fillId="0" borderId="6" xfId="0" applyFont="1" applyBorder="1" applyAlignment="1">
      <alignment horizontal="left" vertical="center" shrinkToFit="1"/>
    </xf>
    <xf numFmtId="0" fontId="10" fillId="0" borderId="25" xfId="0" applyFont="1" applyBorder="1">
      <alignment vertical="center"/>
    </xf>
    <xf numFmtId="0" fontId="7" fillId="0" borderId="10" xfId="0" applyFont="1" applyBorder="1" applyAlignment="1">
      <alignment horizontal="left" vertical="center" shrinkToFit="1"/>
    </xf>
    <xf numFmtId="0" fontId="8" fillId="0" borderId="24" xfId="0" applyFont="1" applyBorder="1" applyAlignment="1">
      <alignment horizontal="left" vertical="center" shrinkToFit="1"/>
    </xf>
    <xf numFmtId="0" fontId="8" fillId="0" borderId="9" xfId="0" applyFont="1" applyBorder="1" applyAlignment="1">
      <alignment horizontal="left" vertical="center" shrinkToFit="1"/>
    </xf>
    <xf numFmtId="0" fontId="10" fillId="0" borderId="25" xfId="0" applyFont="1" applyBorder="1" applyAlignment="1">
      <alignment horizontal="left" vertical="center" shrinkToFit="1"/>
    </xf>
    <xf numFmtId="0" fontId="17" fillId="0" borderId="0" xfId="0" applyFont="1">
      <alignment vertical="center"/>
    </xf>
    <xf numFmtId="0" fontId="6" fillId="0" borderId="25" xfId="0" applyFont="1" applyBorder="1" applyAlignment="1">
      <alignment horizontal="left" vertical="center" shrinkToFit="1"/>
    </xf>
    <xf numFmtId="0" fontId="11" fillId="0" borderId="25" xfId="0" applyFont="1" applyBorder="1" applyAlignment="1">
      <alignment horizontal="left" vertical="center" shrinkToFi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38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41" fontId="14" fillId="0" borderId="0" xfId="1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4" fillId="10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38" fontId="14" fillId="10" borderId="0" xfId="0" applyNumberFormat="1" applyFont="1" applyFill="1" applyAlignment="1">
      <alignment horizontal="center" vertical="center"/>
    </xf>
    <xf numFmtId="0" fontId="14" fillId="0" borderId="0" xfId="0" applyFont="1">
      <alignment vertical="center"/>
    </xf>
    <xf numFmtId="176" fontId="14" fillId="0" borderId="9" xfId="0" applyNumberFormat="1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38" fontId="14" fillId="0" borderId="11" xfId="0" applyNumberFormat="1" applyFont="1" applyBorder="1" applyAlignment="1">
      <alignment horizontal="center" vertical="center"/>
    </xf>
    <xf numFmtId="38" fontId="14" fillId="0" borderId="19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41" fontId="14" fillId="0" borderId="9" xfId="0" applyNumberFormat="1" applyFont="1" applyBorder="1" applyAlignment="1">
      <alignment horizontal="center" vertical="center"/>
    </xf>
    <xf numFmtId="41" fontId="14" fillId="15" borderId="9" xfId="0" applyNumberFormat="1" applyFont="1" applyFill="1" applyBorder="1" applyAlignment="1">
      <alignment horizontal="center" vertical="center"/>
    </xf>
    <xf numFmtId="41" fontId="14" fillId="0" borderId="12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38" fontId="14" fillId="14" borderId="0" xfId="0" applyNumberFormat="1" applyFont="1" applyFill="1" applyAlignment="1">
      <alignment horizontal="center" vertical="center"/>
    </xf>
    <xf numFmtId="41" fontId="14" fillId="0" borderId="0" xfId="1" applyFont="1" applyBorder="1" applyAlignment="1">
      <alignment horizontal="left" vertical="center"/>
    </xf>
    <xf numFmtId="41" fontId="14" fillId="0" borderId="0" xfId="0" applyNumberFormat="1" applyFont="1" applyAlignment="1">
      <alignment horizontal="left" vertical="center"/>
    </xf>
    <xf numFmtId="176" fontId="14" fillId="0" borderId="0" xfId="0" applyNumberFormat="1" applyFont="1" applyAlignment="1">
      <alignment horizontal="center" vertical="center"/>
    </xf>
    <xf numFmtId="0" fontId="24" fillId="0" borderId="25" xfId="0" applyFont="1" applyBorder="1" applyAlignment="1">
      <alignment horizontal="left" vertical="center" shrinkToFit="1"/>
    </xf>
    <xf numFmtId="0" fontId="25" fillId="0" borderId="11" xfId="0" applyFont="1" applyBorder="1" applyAlignment="1">
      <alignment horizontal="left" vertical="center" shrinkToFit="1"/>
    </xf>
    <xf numFmtId="41" fontId="25" fillId="0" borderId="9" xfId="0" applyNumberFormat="1" applyFont="1" applyBorder="1" applyAlignment="1">
      <alignment horizontal="center" vertical="center"/>
    </xf>
    <xf numFmtId="41" fontId="26" fillId="0" borderId="9" xfId="0" applyNumberFormat="1" applyFont="1" applyBorder="1" applyAlignment="1">
      <alignment horizontal="center" vertical="center"/>
    </xf>
    <xf numFmtId="0" fontId="24" fillId="0" borderId="6" xfId="0" applyFont="1" applyBorder="1" applyAlignment="1">
      <alignment horizontal="left" vertical="center" shrinkToFit="1"/>
    </xf>
    <xf numFmtId="0" fontId="12" fillId="0" borderId="25" xfId="0" applyFont="1" applyBorder="1" applyAlignment="1">
      <alignment horizontal="left" vertical="center" shrinkToFit="1"/>
    </xf>
    <xf numFmtId="0" fontId="6" fillId="0" borderId="6" xfId="0" applyFont="1" applyBorder="1" applyAlignment="1">
      <alignment horizontal="left" vertical="center" shrinkToFit="1"/>
    </xf>
    <xf numFmtId="0" fontId="6" fillId="0" borderId="0" xfId="0" applyFont="1" applyAlignment="1">
      <alignment horizontal="left" vertical="center" shrinkToFit="1"/>
    </xf>
    <xf numFmtId="179" fontId="6" fillId="0" borderId="6" xfId="0" applyNumberFormat="1" applyFont="1" applyBorder="1" applyAlignment="1">
      <alignment horizontal="left" vertical="center" shrinkToFit="1"/>
    </xf>
    <xf numFmtId="0" fontId="14" fillId="9" borderId="3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31" fillId="0" borderId="25" xfId="0" applyFont="1" applyBorder="1" applyAlignment="1">
      <alignment horizontal="left" vertical="center" shrinkToFit="1"/>
    </xf>
    <xf numFmtId="41" fontId="14" fillId="0" borderId="26" xfId="0" applyNumberFormat="1" applyFont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36" fillId="7" borderId="30" xfId="0" applyFont="1" applyFill="1" applyBorder="1" applyAlignment="1">
      <alignment horizontal="center" vertical="center"/>
    </xf>
    <xf numFmtId="0" fontId="36" fillId="7" borderId="30" xfId="0" applyFont="1" applyFill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center" vertical="center"/>
    </xf>
    <xf numFmtId="0" fontId="16" fillId="2" borderId="30" xfId="0" applyFont="1" applyFill="1" applyBorder="1" applyAlignment="1">
      <alignment horizontal="center" vertical="center"/>
    </xf>
    <xf numFmtId="0" fontId="16" fillId="3" borderId="35" xfId="0" applyFont="1" applyFill="1" applyBorder="1" applyAlignment="1">
      <alignment horizontal="center" vertical="center"/>
    </xf>
    <xf numFmtId="38" fontId="16" fillId="3" borderId="35" xfId="0" applyNumberFormat="1" applyFont="1" applyFill="1" applyBorder="1" applyAlignment="1">
      <alignment horizontal="center" vertical="center"/>
    </xf>
    <xf numFmtId="0" fontId="14" fillId="6" borderId="20" xfId="0" applyFont="1" applyFill="1" applyBorder="1" applyAlignment="1">
      <alignment horizontal="center" vertical="center"/>
    </xf>
    <xf numFmtId="38" fontId="14" fillId="0" borderId="29" xfId="0" applyNumberFormat="1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178" fontId="23" fillId="0" borderId="30" xfId="0" applyNumberFormat="1" applyFont="1" applyBorder="1" applyAlignment="1">
      <alignment horizontal="center" vertical="center"/>
    </xf>
    <xf numFmtId="176" fontId="33" fillId="7" borderId="30" xfId="0" applyNumberFormat="1" applyFont="1" applyFill="1" applyBorder="1" applyAlignment="1">
      <alignment horizontal="center" vertical="center"/>
    </xf>
    <xf numFmtId="38" fontId="16" fillId="7" borderId="30" xfId="0" applyNumberFormat="1" applyFont="1" applyFill="1" applyBorder="1" applyAlignment="1">
      <alignment horizontal="center" vertical="center"/>
    </xf>
    <xf numFmtId="38" fontId="28" fillId="7" borderId="30" xfId="0" applyNumberFormat="1" applyFont="1" applyFill="1" applyBorder="1" applyAlignment="1">
      <alignment horizontal="center" vertical="center"/>
    </xf>
    <xf numFmtId="0" fontId="32" fillId="7" borderId="30" xfId="0" applyFont="1" applyFill="1" applyBorder="1" applyAlignment="1">
      <alignment horizontal="center" vertical="center" wrapText="1"/>
    </xf>
    <xf numFmtId="0" fontId="32" fillId="7" borderId="30" xfId="0" applyFont="1" applyFill="1" applyBorder="1" applyAlignment="1">
      <alignment horizontal="center" vertical="center"/>
    </xf>
    <xf numFmtId="38" fontId="21" fillId="7" borderId="30" xfId="0" applyNumberFormat="1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76" fontId="14" fillId="7" borderId="33" xfId="0" applyNumberFormat="1" applyFont="1" applyFill="1" applyBorder="1" applyAlignment="1">
      <alignment horizontal="center" vertical="center"/>
    </xf>
    <xf numFmtId="176" fontId="14" fillId="0" borderId="39" xfId="0" applyNumberFormat="1" applyFont="1" applyBorder="1" applyAlignment="1">
      <alignment horizontal="left" vertical="center"/>
    </xf>
    <xf numFmtId="0" fontId="16" fillId="4" borderId="32" xfId="0" applyFont="1" applyFill="1" applyBorder="1" applyAlignment="1">
      <alignment horizontal="center" vertical="center"/>
    </xf>
    <xf numFmtId="38" fontId="16" fillId="4" borderId="32" xfId="0" applyNumberFormat="1" applyFont="1" applyFill="1" applyBorder="1" applyAlignment="1">
      <alignment horizontal="center" vertical="center"/>
    </xf>
    <xf numFmtId="0" fontId="28" fillId="7" borderId="37" xfId="0" applyFont="1" applyFill="1" applyBorder="1" applyAlignment="1">
      <alignment horizontal="center" vertical="center"/>
    </xf>
    <xf numFmtId="0" fontId="14" fillId="0" borderId="39" xfId="0" applyFont="1" applyBorder="1" applyAlignment="1">
      <alignment horizontal="left" vertical="center"/>
    </xf>
    <xf numFmtId="0" fontId="14" fillId="0" borderId="39" xfId="0" applyFont="1" applyBorder="1" applyAlignment="1">
      <alignment horizontal="left" vertical="center" shrinkToFit="1"/>
    </xf>
    <xf numFmtId="0" fontId="14" fillId="7" borderId="39" xfId="0" applyFont="1" applyFill="1" applyBorder="1" applyAlignment="1">
      <alignment horizontal="left" vertical="center" shrinkToFit="1"/>
    </xf>
    <xf numFmtId="0" fontId="32" fillId="7" borderId="42" xfId="0" applyFont="1" applyFill="1" applyBorder="1" applyAlignment="1">
      <alignment horizontal="center" vertical="center" wrapText="1"/>
    </xf>
    <xf numFmtId="38" fontId="16" fillId="7" borderId="42" xfId="0" applyNumberFormat="1" applyFont="1" applyFill="1" applyBorder="1" applyAlignment="1">
      <alignment horizontal="center" vertical="center"/>
    </xf>
    <xf numFmtId="38" fontId="21" fillId="7" borderId="42" xfId="0" applyNumberFormat="1" applyFont="1" applyFill="1" applyBorder="1" applyAlignment="1">
      <alignment horizontal="center" vertical="center"/>
    </xf>
    <xf numFmtId="0" fontId="16" fillId="7" borderId="42" xfId="0" applyFont="1" applyFill="1" applyBorder="1" applyAlignment="1">
      <alignment horizontal="center" vertical="center"/>
    </xf>
    <xf numFmtId="38" fontId="16" fillId="7" borderId="33" xfId="0" applyNumberFormat="1" applyFont="1" applyFill="1" applyBorder="1" applyAlignment="1">
      <alignment horizontal="center" vertical="center"/>
    </xf>
    <xf numFmtId="38" fontId="16" fillId="7" borderId="37" xfId="0" applyNumberFormat="1" applyFont="1" applyFill="1" applyBorder="1" applyAlignment="1">
      <alignment horizontal="center" vertical="center"/>
    </xf>
    <xf numFmtId="38" fontId="21" fillId="7" borderId="37" xfId="0" applyNumberFormat="1" applyFont="1" applyFill="1" applyBorder="1" applyAlignment="1">
      <alignment horizontal="center" vertical="center"/>
    </xf>
    <xf numFmtId="0" fontId="28" fillId="2" borderId="37" xfId="0" applyFont="1" applyFill="1" applyBorder="1" applyAlignment="1">
      <alignment horizontal="center" vertical="center"/>
    </xf>
    <xf numFmtId="0" fontId="16" fillId="7" borderId="37" xfId="0" applyFont="1" applyFill="1" applyBorder="1" applyAlignment="1">
      <alignment horizontal="center" vertical="center"/>
    </xf>
    <xf numFmtId="178" fontId="23" fillId="0" borderId="49" xfId="0" applyNumberFormat="1" applyFont="1" applyBorder="1" applyAlignment="1">
      <alignment horizontal="center" vertical="center"/>
    </xf>
    <xf numFmtId="38" fontId="16" fillId="7" borderId="49" xfId="0" applyNumberFormat="1" applyFont="1" applyFill="1" applyBorder="1" applyAlignment="1">
      <alignment horizontal="center" vertical="center"/>
    </xf>
    <xf numFmtId="38" fontId="21" fillId="7" borderId="49" xfId="0" applyNumberFormat="1" applyFont="1" applyFill="1" applyBorder="1" applyAlignment="1">
      <alignment horizontal="center" vertical="center"/>
    </xf>
    <xf numFmtId="38" fontId="21" fillId="7" borderId="50" xfId="0" applyNumberFormat="1" applyFont="1" applyFill="1" applyBorder="1" applyAlignment="1">
      <alignment horizontal="center" vertical="center"/>
    </xf>
    <xf numFmtId="0" fontId="16" fillId="4" borderId="48" xfId="0" applyFont="1" applyFill="1" applyBorder="1" applyAlignment="1">
      <alignment horizontal="center" vertical="center"/>
    </xf>
    <xf numFmtId="0" fontId="16" fillId="2" borderId="49" xfId="0" applyFont="1" applyFill="1" applyBorder="1" applyAlignment="1">
      <alignment horizontal="center" vertical="center"/>
    </xf>
    <xf numFmtId="0" fontId="16" fillId="7" borderId="49" xfId="0" applyFont="1" applyFill="1" applyBorder="1" applyAlignment="1">
      <alignment horizontal="center" vertical="center"/>
    </xf>
    <xf numFmtId="38" fontId="16" fillId="7" borderId="39" xfId="0" applyNumberFormat="1" applyFont="1" applyFill="1" applyBorder="1" applyAlignment="1">
      <alignment horizontal="center" vertical="center"/>
    </xf>
    <xf numFmtId="0" fontId="28" fillId="7" borderId="49" xfId="0" applyFont="1" applyFill="1" applyBorder="1" applyAlignment="1">
      <alignment horizontal="center" vertical="center"/>
    </xf>
    <xf numFmtId="178" fontId="16" fillId="0" borderId="49" xfId="0" applyNumberFormat="1" applyFont="1" applyBorder="1" applyAlignment="1">
      <alignment horizontal="center" vertical="center"/>
    </xf>
    <xf numFmtId="0" fontId="22" fillId="7" borderId="39" xfId="0" applyFont="1" applyFill="1" applyBorder="1" applyAlignment="1">
      <alignment horizontal="center" vertical="center"/>
    </xf>
    <xf numFmtId="182" fontId="16" fillId="0" borderId="39" xfId="0" applyNumberFormat="1" applyFont="1" applyBorder="1" applyAlignment="1">
      <alignment horizontal="center" vertical="center"/>
    </xf>
    <xf numFmtId="0" fontId="16" fillId="3" borderId="54" xfId="0" applyFont="1" applyFill="1" applyBorder="1" applyAlignment="1">
      <alignment horizontal="center" vertical="center"/>
    </xf>
    <xf numFmtId="0" fontId="16" fillId="3" borderId="38" xfId="0" applyFont="1" applyFill="1" applyBorder="1" applyAlignment="1">
      <alignment horizontal="center" vertical="center"/>
    </xf>
    <xf numFmtId="0" fontId="14" fillId="7" borderId="40" xfId="0" applyFont="1" applyFill="1" applyBorder="1" applyAlignment="1">
      <alignment horizontal="center" vertical="center"/>
    </xf>
    <xf numFmtId="0" fontId="16" fillId="7" borderId="40" xfId="0" applyFont="1" applyFill="1" applyBorder="1" applyAlignment="1">
      <alignment horizontal="center" vertical="center"/>
    </xf>
    <xf numFmtId="0" fontId="18" fillId="7" borderId="40" xfId="0" applyFont="1" applyFill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16" fillId="7" borderId="56" xfId="0" applyFont="1" applyFill="1" applyBorder="1" applyAlignment="1">
      <alignment horizontal="center" vertical="center"/>
    </xf>
    <xf numFmtId="0" fontId="16" fillId="7" borderId="57" xfId="0" applyFont="1" applyFill="1" applyBorder="1" applyAlignment="1">
      <alignment horizontal="center" vertical="center"/>
    </xf>
    <xf numFmtId="0" fontId="16" fillId="2" borderId="44" xfId="0" applyFont="1" applyFill="1" applyBorder="1" applyAlignment="1">
      <alignment horizontal="center" vertical="center"/>
    </xf>
    <xf numFmtId="0" fontId="16" fillId="2" borderId="51" xfId="0" applyFont="1" applyFill="1" applyBorder="1" applyAlignment="1">
      <alignment horizontal="center" vertical="center"/>
    </xf>
    <xf numFmtId="0" fontId="16" fillId="2" borderId="45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38" fontId="16" fillId="2" borderId="45" xfId="0" applyNumberFormat="1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left" vertical="center"/>
    </xf>
    <xf numFmtId="0" fontId="36" fillId="7" borderId="42" xfId="0" applyFont="1" applyFill="1" applyBorder="1" applyAlignment="1">
      <alignment horizontal="center" vertical="center"/>
    </xf>
    <xf numFmtId="0" fontId="16" fillId="7" borderId="50" xfId="0" applyFont="1" applyFill="1" applyBorder="1" applyAlignment="1">
      <alignment horizontal="center" vertical="center"/>
    </xf>
    <xf numFmtId="0" fontId="16" fillId="7" borderId="43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left" vertical="center" shrinkToFit="1"/>
    </xf>
    <xf numFmtId="0" fontId="16" fillId="3" borderId="58" xfId="0" applyFont="1" applyFill="1" applyBorder="1" applyAlignment="1">
      <alignment horizontal="center" vertical="center"/>
    </xf>
    <xf numFmtId="0" fontId="16" fillId="3" borderId="59" xfId="0" applyFont="1" applyFill="1" applyBorder="1" applyAlignment="1">
      <alignment horizontal="center" vertical="center"/>
    </xf>
    <xf numFmtId="0" fontId="16" fillId="3" borderId="60" xfId="0" applyFont="1" applyFill="1" applyBorder="1" applyAlignment="1">
      <alignment horizontal="center" vertical="center"/>
    </xf>
    <xf numFmtId="0" fontId="16" fillId="3" borderId="61" xfId="0" applyFont="1" applyFill="1" applyBorder="1" applyAlignment="1">
      <alignment horizontal="center" vertical="center"/>
    </xf>
    <xf numFmtId="38" fontId="16" fillId="3" borderId="60" xfId="0" applyNumberFormat="1" applyFont="1" applyFill="1" applyBorder="1" applyAlignment="1">
      <alignment horizontal="center" vertical="center"/>
    </xf>
    <xf numFmtId="0" fontId="14" fillId="3" borderId="62" xfId="0" applyFont="1" applyFill="1" applyBorder="1" applyAlignment="1">
      <alignment horizontal="left" vertical="center"/>
    </xf>
    <xf numFmtId="38" fontId="28" fillId="5" borderId="37" xfId="0" applyNumberFormat="1" applyFont="1" applyFill="1" applyBorder="1" applyAlignment="1">
      <alignment horizontal="center" vertical="center"/>
    </xf>
    <xf numFmtId="38" fontId="28" fillId="4" borderId="36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1" xfId="0" applyFont="1" applyBorder="1">
      <alignment vertical="center"/>
    </xf>
    <xf numFmtId="0" fontId="29" fillId="0" borderId="39" xfId="0" applyFont="1" applyBorder="1" applyAlignment="1">
      <alignment horizontal="left" vertical="center"/>
    </xf>
    <xf numFmtId="38" fontId="37" fillId="7" borderId="30" xfId="0" applyNumberFormat="1" applyFont="1" applyFill="1" applyBorder="1" applyAlignment="1">
      <alignment horizontal="center" vertical="center"/>
    </xf>
    <xf numFmtId="38" fontId="28" fillId="7" borderId="42" xfId="0" applyNumberFormat="1" applyFont="1" applyFill="1" applyBorder="1" applyAlignment="1">
      <alignment horizontal="center" vertical="center"/>
    </xf>
    <xf numFmtId="0" fontId="28" fillId="3" borderId="38" xfId="0" applyFont="1" applyFill="1" applyBorder="1" applyAlignment="1">
      <alignment horizontal="center" vertical="center"/>
    </xf>
    <xf numFmtId="0" fontId="28" fillId="2" borderId="44" xfId="0" applyFont="1" applyFill="1" applyBorder="1" applyAlignment="1">
      <alignment horizontal="center" vertical="center"/>
    </xf>
    <xf numFmtId="0" fontId="28" fillId="2" borderId="45" xfId="0" applyFont="1" applyFill="1" applyBorder="1" applyAlignment="1">
      <alignment horizontal="center" vertical="center"/>
    </xf>
    <xf numFmtId="0" fontId="28" fillId="3" borderId="58" xfId="0" applyFont="1" applyFill="1" applyBorder="1" applyAlignment="1">
      <alignment horizontal="center" vertical="center"/>
    </xf>
    <xf numFmtId="0" fontId="28" fillId="3" borderId="60" xfId="0" applyFont="1" applyFill="1" applyBorder="1" applyAlignment="1">
      <alignment horizontal="center" vertical="center"/>
    </xf>
    <xf numFmtId="38" fontId="16" fillId="7" borderId="35" xfId="0" applyNumberFormat="1" applyFont="1" applyFill="1" applyBorder="1" applyAlignment="1">
      <alignment horizontal="center" vertical="center"/>
    </xf>
    <xf numFmtId="38" fontId="16" fillId="7" borderId="38" xfId="0" applyNumberFormat="1" applyFont="1" applyFill="1" applyBorder="1" applyAlignment="1">
      <alignment horizontal="center" vertical="center"/>
    </xf>
    <xf numFmtId="0" fontId="16" fillId="4" borderId="40" xfId="0" applyFont="1" applyFill="1" applyBorder="1" applyAlignment="1">
      <alignment horizontal="center" vertical="center"/>
    </xf>
    <xf numFmtId="0" fontId="28" fillId="4" borderId="40" xfId="0" applyFont="1" applyFill="1" applyBorder="1" applyAlignment="1">
      <alignment horizontal="center" vertical="center"/>
    </xf>
    <xf numFmtId="0" fontId="16" fillId="4" borderId="57" xfId="0" applyFont="1" applyFill="1" applyBorder="1" applyAlignment="1">
      <alignment horizontal="center" vertical="center"/>
    </xf>
    <xf numFmtId="176" fontId="36" fillId="7" borderId="55" xfId="0" applyNumberFormat="1" applyFont="1" applyFill="1" applyBorder="1" applyAlignment="1">
      <alignment horizontal="center" vertical="center"/>
    </xf>
    <xf numFmtId="176" fontId="34" fillId="7" borderId="42" xfId="0" applyNumberFormat="1" applyFont="1" applyFill="1" applyBorder="1" applyAlignment="1">
      <alignment horizontal="center" vertical="center"/>
    </xf>
    <xf numFmtId="38" fontId="37" fillId="7" borderId="42" xfId="0" applyNumberFormat="1" applyFont="1" applyFill="1" applyBorder="1" applyAlignment="1">
      <alignment horizontal="center" vertical="center"/>
    </xf>
    <xf numFmtId="38" fontId="37" fillId="7" borderId="50" xfId="0" applyNumberFormat="1" applyFont="1" applyFill="1" applyBorder="1" applyAlignment="1">
      <alignment horizontal="center" vertical="center"/>
    </xf>
    <xf numFmtId="0" fontId="28" fillId="4" borderId="57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38" fontId="16" fillId="7" borderId="54" xfId="0" applyNumberFormat="1" applyFont="1" applyFill="1" applyBorder="1" applyAlignment="1">
      <alignment horizontal="center" vertical="center"/>
    </xf>
    <xf numFmtId="0" fontId="40" fillId="7" borderId="30" xfId="0" applyFont="1" applyFill="1" applyBorder="1" applyAlignment="1">
      <alignment horizontal="center" vertical="center"/>
    </xf>
    <xf numFmtId="0" fontId="28" fillId="7" borderId="42" xfId="0" applyFont="1" applyFill="1" applyBorder="1" applyAlignment="1">
      <alignment horizontal="center" vertical="center"/>
    </xf>
    <xf numFmtId="0" fontId="28" fillId="7" borderId="43" xfId="0" applyFont="1" applyFill="1" applyBorder="1" applyAlignment="1">
      <alignment horizontal="center" vertical="center"/>
    </xf>
    <xf numFmtId="0" fontId="35" fillId="7" borderId="30" xfId="0" applyFont="1" applyFill="1" applyBorder="1" applyAlignment="1">
      <alignment horizontal="center" vertical="center"/>
    </xf>
    <xf numFmtId="38" fontId="37" fillId="7" borderId="49" xfId="0" applyNumberFormat="1" applyFont="1" applyFill="1" applyBorder="1" applyAlignment="1">
      <alignment horizontal="center" vertical="center"/>
    </xf>
    <xf numFmtId="38" fontId="28" fillId="7" borderId="49" xfId="0" applyNumberFormat="1" applyFont="1" applyFill="1" applyBorder="1" applyAlignment="1">
      <alignment horizontal="center" vertical="center"/>
    </xf>
    <xf numFmtId="176" fontId="40" fillId="7" borderId="55" xfId="0" applyNumberFormat="1" applyFont="1" applyFill="1" applyBorder="1" applyAlignment="1">
      <alignment horizontal="center" vertical="center"/>
    </xf>
    <xf numFmtId="176" fontId="32" fillId="7" borderId="30" xfId="0" applyNumberFormat="1" applyFont="1" applyFill="1" applyBorder="1" applyAlignment="1">
      <alignment horizontal="center" vertical="center"/>
    </xf>
    <xf numFmtId="176" fontId="41" fillId="7" borderId="30" xfId="0" applyNumberFormat="1" applyFont="1" applyFill="1" applyBorder="1" applyAlignment="1">
      <alignment horizontal="center" vertical="center"/>
    </xf>
    <xf numFmtId="176" fontId="42" fillId="7" borderId="30" xfId="0" applyNumberFormat="1" applyFont="1" applyFill="1" applyBorder="1" applyAlignment="1">
      <alignment horizontal="center" vertical="center"/>
    </xf>
    <xf numFmtId="176" fontId="43" fillId="7" borderId="33" xfId="0" applyNumberFormat="1" applyFont="1" applyFill="1" applyBorder="1" applyAlignment="1">
      <alignment horizontal="center" vertical="center"/>
    </xf>
    <xf numFmtId="176" fontId="41" fillId="7" borderId="30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8" fillId="10" borderId="0" xfId="0" applyFont="1" applyFill="1" applyAlignment="1">
      <alignment horizontal="center" vertical="center"/>
    </xf>
    <xf numFmtId="178" fontId="28" fillId="0" borderId="49" xfId="0" applyNumberFormat="1" applyFont="1" applyBorder="1" applyAlignment="1">
      <alignment horizontal="center" vertical="center"/>
    </xf>
    <xf numFmtId="38" fontId="28" fillId="7" borderId="37" xfId="0" applyNumberFormat="1" applyFont="1" applyFill="1" applyBorder="1" applyAlignment="1">
      <alignment horizontal="center" vertical="center"/>
    </xf>
    <xf numFmtId="38" fontId="37" fillId="7" borderId="37" xfId="0" applyNumberFormat="1" applyFont="1" applyFill="1" applyBorder="1" applyAlignment="1">
      <alignment horizontal="center" vertical="center"/>
    </xf>
    <xf numFmtId="38" fontId="28" fillId="7" borderId="35" xfId="0" applyNumberFormat="1" applyFont="1" applyFill="1" applyBorder="1" applyAlignment="1">
      <alignment horizontal="center" vertical="center"/>
    </xf>
    <xf numFmtId="38" fontId="28" fillId="7" borderId="54" xfId="0" applyNumberFormat="1" applyFont="1" applyFill="1" applyBorder="1" applyAlignment="1">
      <alignment horizontal="center" vertical="center"/>
    </xf>
    <xf numFmtId="38" fontId="28" fillId="7" borderId="38" xfId="0" applyNumberFormat="1" applyFont="1" applyFill="1" applyBorder="1" applyAlignment="1">
      <alignment horizontal="center" vertical="center"/>
    </xf>
    <xf numFmtId="0" fontId="28" fillId="3" borderId="35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center" vertical="center"/>
    </xf>
    <xf numFmtId="0" fontId="28" fillId="7" borderId="56" xfId="0" applyFont="1" applyFill="1" applyBorder="1" applyAlignment="1">
      <alignment horizontal="center" vertical="center"/>
    </xf>
    <xf numFmtId="0" fontId="28" fillId="7" borderId="57" xfId="0" applyFont="1" applyFill="1" applyBorder="1" applyAlignment="1">
      <alignment horizontal="center" vertical="center"/>
    </xf>
    <xf numFmtId="0" fontId="28" fillId="7" borderId="50" xfId="0" applyFont="1" applyFill="1" applyBorder="1" applyAlignment="1">
      <alignment horizontal="center" vertical="center"/>
    </xf>
    <xf numFmtId="0" fontId="28" fillId="2" borderId="51" xfId="0" applyFont="1" applyFill="1" applyBorder="1" applyAlignment="1">
      <alignment horizontal="center" vertical="center"/>
    </xf>
    <xf numFmtId="0" fontId="28" fillId="3" borderId="59" xfId="0" applyFont="1" applyFill="1" applyBorder="1" applyAlignment="1">
      <alignment horizontal="center" vertical="center"/>
    </xf>
    <xf numFmtId="0" fontId="28" fillId="14" borderId="0" xfId="0" applyFont="1" applyFill="1" applyAlignment="1">
      <alignment horizontal="center" vertical="center"/>
    </xf>
    <xf numFmtId="38" fontId="28" fillId="17" borderId="36" xfId="0" applyNumberFormat="1" applyFont="1" applyFill="1" applyBorder="1" applyAlignment="1">
      <alignment horizontal="center" vertical="center"/>
    </xf>
    <xf numFmtId="38" fontId="28" fillId="3" borderId="36" xfId="0" applyNumberFormat="1" applyFont="1" applyFill="1" applyBorder="1" applyAlignment="1">
      <alignment horizontal="center" vertical="center"/>
    </xf>
    <xf numFmtId="38" fontId="16" fillId="5" borderId="37" xfId="0" applyNumberFormat="1" applyFont="1" applyFill="1" applyBorder="1" applyAlignment="1">
      <alignment horizontal="center" vertical="center"/>
    </xf>
    <xf numFmtId="0" fontId="45" fillId="7" borderId="0" xfId="0" applyFont="1" applyFill="1" applyAlignment="1">
      <alignment horizontal="center" vertical="center"/>
    </xf>
    <xf numFmtId="0" fontId="41" fillId="7" borderId="42" xfId="0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 vertical="center"/>
    </xf>
    <xf numFmtId="176" fontId="44" fillId="7" borderId="33" xfId="0" applyNumberFormat="1" applyFont="1" applyFill="1" applyBorder="1" applyAlignment="1">
      <alignment horizontal="center" vertical="center"/>
    </xf>
    <xf numFmtId="0" fontId="19" fillId="7" borderId="30" xfId="0" applyFont="1" applyFill="1" applyBorder="1" applyAlignment="1">
      <alignment horizontal="center" vertical="center"/>
    </xf>
    <xf numFmtId="0" fontId="19" fillId="7" borderId="49" xfId="0" applyFont="1" applyFill="1" applyBorder="1" applyAlignment="1">
      <alignment horizontal="center" vertical="center"/>
    </xf>
    <xf numFmtId="176" fontId="42" fillId="7" borderId="30" xfId="0" applyNumberFormat="1" applyFont="1" applyFill="1" applyBorder="1" applyAlignment="1">
      <alignment horizontal="center" vertical="center" wrapText="1"/>
    </xf>
    <xf numFmtId="0" fontId="38" fillId="7" borderId="30" xfId="0" applyFont="1" applyFill="1" applyBorder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17" fontId="14" fillId="0" borderId="39" xfId="0" applyNumberFormat="1" applyFont="1" applyBorder="1" applyAlignment="1">
      <alignment horizontal="left" vertical="center" shrinkToFit="1"/>
    </xf>
    <xf numFmtId="0" fontId="35" fillId="7" borderId="30" xfId="0" applyFont="1" applyFill="1" applyBorder="1" applyAlignment="1">
      <alignment horizontal="center" vertical="center" wrapText="1"/>
    </xf>
    <xf numFmtId="178" fontId="16" fillId="10" borderId="30" xfId="0" applyNumberFormat="1" applyFont="1" applyFill="1" applyBorder="1" applyAlignment="1">
      <alignment horizontal="center" vertical="center"/>
    </xf>
    <xf numFmtId="0" fontId="45" fillId="7" borderId="30" xfId="0" applyFont="1" applyFill="1" applyBorder="1" applyAlignment="1">
      <alignment horizontal="center" vertical="center" wrapText="1"/>
    </xf>
    <xf numFmtId="176" fontId="14" fillId="7" borderId="41" xfId="0" applyNumberFormat="1" applyFont="1" applyFill="1" applyBorder="1" applyAlignment="1">
      <alignment horizontal="center" vertical="center"/>
    </xf>
    <xf numFmtId="0" fontId="14" fillId="7" borderId="0" xfId="0" applyFont="1" applyFill="1" applyAlignment="1">
      <alignment horizontal="left" vertical="center"/>
    </xf>
    <xf numFmtId="0" fontId="16" fillId="7" borderId="52" xfId="0" applyFont="1" applyFill="1" applyBorder="1" applyAlignment="1">
      <alignment horizontal="center" vertical="center"/>
    </xf>
    <xf numFmtId="176" fontId="32" fillId="0" borderId="55" xfId="0" applyNumberFormat="1" applyFont="1" applyBorder="1" applyAlignment="1">
      <alignment horizontal="center" vertical="center"/>
    </xf>
    <xf numFmtId="0" fontId="46" fillId="7" borderId="30" xfId="0" applyFont="1" applyFill="1" applyBorder="1" applyAlignment="1">
      <alignment horizontal="center" vertical="center"/>
    </xf>
    <xf numFmtId="0" fontId="46" fillId="7" borderId="0" xfId="0" applyFont="1" applyFill="1" applyAlignment="1">
      <alignment horizontal="center" vertical="center"/>
    </xf>
    <xf numFmtId="0" fontId="46" fillId="7" borderId="49" xfId="0" applyFont="1" applyFill="1" applyBorder="1" applyAlignment="1">
      <alignment horizontal="center" vertical="center"/>
    </xf>
    <xf numFmtId="0" fontId="46" fillId="7" borderId="37" xfId="0" applyFont="1" applyFill="1" applyBorder="1" applyAlignment="1">
      <alignment horizontal="center" vertical="center"/>
    </xf>
    <xf numFmtId="0" fontId="40" fillId="7" borderId="30" xfId="0" applyFont="1" applyFill="1" applyBorder="1" applyAlignment="1">
      <alignment horizontal="center" vertical="center" wrapText="1"/>
    </xf>
    <xf numFmtId="0" fontId="14" fillId="7" borderId="30" xfId="0" applyFont="1" applyFill="1" applyBorder="1" applyAlignment="1">
      <alignment horizontal="center" vertical="center"/>
    </xf>
    <xf numFmtId="0" fontId="14" fillId="7" borderId="37" xfId="0" applyFont="1" applyFill="1" applyBorder="1" applyAlignment="1">
      <alignment horizontal="center" vertical="center"/>
    </xf>
    <xf numFmtId="38" fontId="16" fillId="5" borderId="57" xfId="0" applyNumberFormat="1" applyFont="1" applyFill="1" applyBorder="1" applyAlignment="1">
      <alignment horizontal="center" vertical="center"/>
    </xf>
    <xf numFmtId="0" fontId="18" fillId="7" borderId="39" xfId="0" applyFont="1" applyFill="1" applyBorder="1" applyAlignment="1">
      <alignment horizontal="center" vertical="center"/>
    </xf>
    <xf numFmtId="0" fontId="18" fillId="7" borderId="64" xfId="0" applyFont="1" applyFill="1" applyBorder="1" applyAlignment="1">
      <alignment horizontal="center" vertical="center"/>
    </xf>
    <xf numFmtId="0" fontId="18" fillId="19" borderId="49" xfId="0" applyFont="1" applyFill="1" applyBorder="1" applyAlignment="1">
      <alignment horizontal="center" vertical="center"/>
    </xf>
    <xf numFmtId="0" fontId="18" fillId="19" borderId="63" xfId="0" applyFont="1" applyFill="1" applyBorder="1" applyAlignment="1">
      <alignment horizontal="center" vertical="center"/>
    </xf>
    <xf numFmtId="0" fontId="18" fillId="19" borderId="39" xfId="0" applyFont="1" applyFill="1" applyBorder="1" applyAlignment="1">
      <alignment horizontal="center" vertical="center"/>
    </xf>
    <xf numFmtId="0" fontId="18" fillId="7" borderId="70" xfId="0" applyFont="1" applyFill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39" xfId="0" applyFont="1" applyFill="1" applyBorder="1" applyAlignment="1">
      <alignment horizontal="center" vertical="center"/>
    </xf>
    <xf numFmtId="0" fontId="18" fillId="21" borderId="49" xfId="0" applyFont="1" applyFill="1" applyBorder="1" applyAlignment="1">
      <alignment horizontal="center" vertical="center"/>
    </xf>
    <xf numFmtId="0" fontId="18" fillId="21" borderId="63" xfId="0" applyFont="1" applyFill="1" applyBorder="1" applyAlignment="1">
      <alignment horizontal="center" vertical="center"/>
    </xf>
    <xf numFmtId="0" fontId="18" fillId="21" borderId="39" xfId="0" applyFont="1" applyFill="1" applyBorder="1" applyAlignment="1">
      <alignment horizontal="center" vertical="center"/>
    </xf>
    <xf numFmtId="0" fontId="18" fillId="11" borderId="49" xfId="0" applyFont="1" applyFill="1" applyBorder="1" applyAlignment="1">
      <alignment horizontal="center" vertical="center"/>
    </xf>
    <xf numFmtId="0" fontId="18" fillId="11" borderId="63" xfId="0" applyFont="1" applyFill="1" applyBorder="1" applyAlignment="1">
      <alignment horizontal="center" vertical="center"/>
    </xf>
    <xf numFmtId="0" fontId="18" fillId="11" borderId="39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7" borderId="49" xfId="0" applyFont="1" applyFill="1" applyBorder="1" applyAlignment="1">
      <alignment horizontal="center" vertical="center"/>
    </xf>
    <xf numFmtId="0" fontId="27" fillId="7" borderId="32" xfId="0" applyFont="1" applyFill="1" applyBorder="1" applyAlignment="1">
      <alignment horizontal="center" vertical="center"/>
    </xf>
    <xf numFmtId="0" fontId="16" fillId="7" borderId="32" xfId="0" applyFont="1" applyFill="1" applyBorder="1" applyAlignment="1">
      <alignment horizontal="center" vertical="center"/>
    </xf>
    <xf numFmtId="0" fontId="16" fillId="7" borderId="48" xfId="0" applyFont="1" applyFill="1" applyBorder="1" applyAlignment="1">
      <alignment horizontal="center" vertical="center"/>
    </xf>
    <xf numFmtId="0" fontId="18" fillId="16" borderId="63" xfId="0" applyFont="1" applyFill="1" applyBorder="1" applyAlignment="1">
      <alignment horizontal="center" vertical="center"/>
    </xf>
    <xf numFmtId="0" fontId="18" fillId="16" borderId="64" xfId="0" applyFont="1" applyFill="1" applyBorder="1" applyAlignment="1">
      <alignment horizontal="center" vertical="center"/>
    </xf>
    <xf numFmtId="0" fontId="18" fillId="20" borderId="49" xfId="0" applyFont="1" applyFill="1" applyBorder="1" applyAlignment="1">
      <alignment horizontal="center" vertical="center"/>
    </xf>
    <xf numFmtId="0" fontId="18" fillId="20" borderId="63" xfId="0" applyFont="1" applyFill="1" applyBorder="1" applyAlignment="1">
      <alignment horizontal="center" vertical="center"/>
    </xf>
    <xf numFmtId="0" fontId="18" fillId="20" borderId="39" xfId="0" applyFont="1" applyFill="1" applyBorder="1" applyAlignment="1">
      <alignment horizontal="center" vertical="center"/>
    </xf>
    <xf numFmtId="0" fontId="14" fillId="3" borderId="65" xfId="0" applyFont="1" applyFill="1" applyBorder="1" applyAlignment="1">
      <alignment horizontal="center" vertical="center"/>
    </xf>
    <xf numFmtId="0" fontId="14" fillId="3" borderId="66" xfId="0" applyFont="1" applyFill="1" applyBorder="1" applyAlignment="1">
      <alignment horizontal="center" vertical="center"/>
    </xf>
    <xf numFmtId="0" fontId="14" fillId="3" borderId="46" xfId="0" applyFont="1" applyFill="1" applyBorder="1" applyAlignment="1">
      <alignment horizontal="center" vertical="center"/>
    </xf>
    <xf numFmtId="0" fontId="14" fillId="2" borderId="65" xfId="0" applyFont="1" applyFill="1" applyBorder="1" applyAlignment="1">
      <alignment horizontal="center" vertical="center"/>
    </xf>
    <xf numFmtId="0" fontId="14" fillId="2" borderId="66" xfId="0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/>
    </xf>
    <xf numFmtId="176" fontId="18" fillId="0" borderId="33" xfId="0" applyNumberFormat="1" applyFont="1" applyBorder="1" applyAlignment="1">
      <alignment horizontal="center" vertical="center"/>
    </xf>
    <xf numFmtId="176" fontId="18" fillId="0" borderId="30" xfId="0" applyNumberFormat="1" applyFont="1" applyBorder="1" applyAlignment="1">
      <alignment horizontal="center" vertical="center"/>
    </xf>
    <xf numFmtId="177" fontId="14" fillId="0" borderId="31" xfId="0" applyNumberFormat="1" applyFont="1" applyBorder="1" applyAlignment="1">
      <alignment horizontal="center" vertical="center"/>
    </xf>
    <xf numFmtId="177" fontId="14" fillId="0" borderId="32" xfId="0" applyNumberFormat="1" applyFont="1" applyBorder="1" applyAlignment="1">
      <alignment horizontal="center" vertical="center"/>
    </xf>
    <xf numFmtId="0" fontId="14" fillId="4" borderId="31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69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38" fontId="16" fillId="5" borderId="67" xfId="0" applyNumberFormat="1" applyFont="1" applyFill="1" applyBorder="1" applyAlignment="1">
      <alignment horizontal="center" vertical="center"/>
    </xf>
    <xf numFmtId="38" fontId="16" fillId="5" borderId="68" xfId="0" applyNumberFormat="1" applyFont="1" applyFill="1" applyBorder="1" applyAlignment="1">
      <alignment horizontal="center" vertical="center"/>
    </xf>
    <xf numFmtId="38" fontId="16" fillId="5" borderId="57" xfId="0" applyNumberFormat="1" applyFont="1" applyFill="1" applyBorder="1" applyAlignment="1">
      <alignment horizontal="center" vertical="center"/>
    </xf>
    <xf numFmtId="0" fontId="18" fillId="18" borderId="49" xfId="0" applyFont="1" applyFill="1" applyBorder="1" applyAlignment="1">
      <alignment horizontal="center" vertical="center"/>
    </xf>
    <xf numFmtId="0" fontId="18" fillId="18" borderId="63" xfId="0" applyFont="1" applyFill="1" applyBorder="1" applyAlignment="1">
      <alignment horizontal="center" vertical="center"/>
    </xf>
    <xf numFmtId="0" fontId="18" fillId="18" borderId="39" xfId="0" applyFont="1" applyFill="1" applyBorder="1" applyAlignment="1">
      <alignment horizontal="center" vertical="center"/>
    </xf>
    <xf numFmtId="0" fontId="18" fillId="10" borderId="49" xfId="0" applyFont="1" applyFill="1" applyBorder="1" applyAlignment="1">
      <alignment horizontal="center" vertical="center"/>
    </xf>
    <xf numFmtId="0" fontId="18" fillId="10" borderId="63" xfId="0" applyFont="1" applyFill="1" applyBorder="1" applyAlignment="1">
      <alignment horizontal="center" vertical="center"/>
    </xf>
    <xf numFmtId="0" fontId="18" fillId="10" borderId="39" xfId="0" applyFont="1" applyFill="1" applyBorder="1" applyAlignment="1">
      <alignment horizontal="center" vertical="center"/>
    </xf>
    <xf numFmtId="0" fontId="18" fillId="2" borderId="49" xfId="0" applyFont="1" applyFill="1" applyBorder="1" applyAlignment="1">
      <alignment horizontal="center" vertical="center"/>
    </xf>
    <xf numFmtId="0" fontId="18" fillId="2" borderId="63" xfId="0" applyFont="1" applyFill="1" applyBorder="1" applyAlignment="1">
      <alignment horizontal="center" vertical="center"/>
    </xf>
    <xf numFmtId="0" fontId="18" fillId="2" borderId="39" xfId="0" applyFont="1" applyFill="1" applyBorder="1" applyAlignment="1">
      <alignment horizontal="center" vertical="center"/>
    </xf>
    <xf numFmtId="0" fontId="18" fillId="7" borderId="64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Q87"/>
  <sheetViews>
    <sheetView tabSelected="1" zoomScale="60" zoomScaleNormal="60" zoomScaleSheetLayoutView="70" workbookViewId="0">
      <selection activeCell="N39" sqref="N39"/>
    </sheetView>
  </sheetViews>
  <sheetFormatPr defaultColWidth="9" defaultRowHeight="35.1" customHeight="1"/>
  <cols>
    <col min="1" max="1" width="9" style="34"/>
    <col min="2" max="2" width="31.625" style="34" customWidth="1"/>
    <col min="3" max="3" width="27.875" style="34" customWidth="1"/>
    <col min="4" max="4" width="80.875" style="39" customWidth="1"/>
    <col min="5" max="8" width="12.625" style="34" hidden="1" customWidth="1"/>
    <col min="9" max="13" width="9" style="37" hidden="1" customWidth="1"/>
    <col min="14" max="15" width="10.125" style="37" customWidth="1"/>
    <col min="16" max="18" width="9" style="37" customWidth="1"/>
    <col min="19" max="20" width="10.125" style="37" customWidth="1"/>
    <col min="21" max="23" width="9" style="37" customWidth="1"/>
    <col min="24" max="25" width="10.125" style="37" customWidth="1"/>
    <col min="26" max="28" width="9" style="37" customWidth="1"/>
    <col min="29" max="30" width="10.125" style="37" customWidth="1"/>
    <col min="31" max="33" width="9" style="37" customWidth="1"/>
    <col min="34" max="35" width="10.125" style="37" customWidth="1"/>
    <col min="36" max="38" width="9" style="37" customWidth="1"/>
    <col min="39" max="40" width="10.125" style="37" customWidth="1"/>
    <col min="41" max="44" width="9" style="37" customWidth="1"/>
    <col min="45" max="46" width="10.125" style="37" customWidth="1"/>
    <col min="47" max="49" width="9" style="37" customWidth="1"/>
    <col min="50" max="51" width="10.125" style="37" customWidth="1"/>
    <col min="52" max="54" width="9" style="37" customWidth="1"/>
    <col min="55" max="56" width="10.125" style="37" customWidth="1"/>
    <col min="57" max="59" width="9" style="37" customWidth="1"/>
    <col min="60" max="61" width="10.125" style="37" customWidth="1"/>
    <col min="62" max="64" width="9" style="37" customWidth="1"/>
    <col min="65" max="66" width="10.125" style="37" customWidth="1"/>
    <col min="67" max="70" width="9" style="37" customWidth="1"/>
    <col min="71" max="71" width="12.625" style="38" customWidth="1"/>
    <col min="72" max="72" width="76.5" style="39" customWidth="1"/>
    <col min="73" max="78" width="20.625" style="34" hidden="1" customWidth="1"/>
    <col min="79" max="79" width="22.75" style="34" customWidth="1"/>
    <col min="80" max="80" width="64" style="34" customWidth="1"/>
    <col min="81" max="81" width="15.625" style="34" customWidth="1"/>
    <col min="82" max="82" width="116.875" style="34" customWidth="1"/>
    <col min="83" max="16384" width="9" style="34"/>
  </cols>
  <sheetData>
    <row r="1" spans="2:73" ht="35.1" customHeight="1">
      <c r="D1" s="35" t="s">
        <v>0</v>
      </c>
      <c r="E1" s="34">
        <f t="shared" ref="E1:H1" si="0">(SUM(E2:E4))-E13</f>
        <v>0</v>
      </c>
      <c r="F1" s="34">
        <f t="shared" si="0"/>
        <v>0</v>
      </c>
      <c r="G1" s="34">
        <f t="shared" si="0"/>
        <v>0</v>
      </c>
      <c r="H1" s="34">
        <f t="shared" si="0"/>
        <v>0</v>
      </c>
      <c r="J1" s="194"/>
      <c r="K1" s="194"/>
      <c r="L1" s="194"/>
      <c r="M1" s="194"/>
      <c r="BR1" s="37">
        <f t="shared" ref="BR1" si="1">(SUM(BR2:BR4))-BR13</f>
        <v>0</v>
      </c>
      <c r="BS1" s="38">
        <f>SUM(E1:H1)</f>
        <v>0</v>
      </c>
      <c r="BU1" s="34">
        <f>1791-1583</f>
        <v>208</v>
      </c>
    </row>
    <row r="2" spans="2:73" ht="35.1" hidden="1" customHeight="1">
      <c r="J2" s="194"/>
      <c r="K2" s="194"/>
      <c r="L2" s="194"/>
      <c r="M2" s="194"/>
      <c r="BS2" s="38">
        <f>SUM(E2:H2)</f>
        <v>0</v>
      </c>
    </row>
    <row r="3" spans="2:73" ht="35.1" hidden="1" customHeight="1">
      <c r="D3" s="39" t="s">
        <v>1</v>
      </c>
      <c r="J3" s="194"/>
      <c r="K3" s="194"/>
      <c r="L3" s="194"/>
      <c r="M3" s="194"/>
    </row>
    <row r="4" spans="2:73" ht="35.1" hidden="1" customHeight="1">
      <c r="D4" s="39" t="s">
        <v>2</v>
      </c>
      <c r="E4" s="36"/>
      <c r="F4" s="36"/>
      <c r="G4" s="36"/>
      <c r="H4" s="36"/>
      <c r="J4" s="194"/>
      <c r="K4" s="194"/>
      <c r="L4" s="194"/>
      <c r="M4" s="194"/>
    </row>
    <row r="5" spans="2:73" ht="35.1" customHeight="1">
      <c r="E5" s="36">
        <f t="shared" ref="E5:BS5" si="2">E63</f>
        <v>-18</v>
      </c>
      <c r="F5" s="36">
        <f t="shared" si="2"/>
        <v>-136</v>
      </c>
      <c r="G5" s="36">
        <f t="shared" si="2"/>
        <v>-182</v>
      </c>
      <c r="H5" s="36">
        <f t="shared" si="2"/>
        <v>-108</v>
      </c>
      <c r="J5" s="194"/>
      <c r="K5" s="194"/>
      <c r="L5" s="194"/>
      <c r="M5" s="194"/>
      <c r="BR5" s="37">
        <f t="shared" si="2"/>
        <v>5</v>
      </c>
      <c r="BS5" s="38">
        <f t="shared" si="2"/>
        <v>-439</v>
      </c>
      <c r="BT5" s="40"/>
    </row>
    <row r="6" spans="2:73" ht="35.1" hidden="1" customHeight="1">
      <c r="E6" s="36"/>
      <c r="F6" s="36"/>
      <c r="G6" s="36"/>
      <c r="H6" s="36"/>
      <c r="J6" s="194"/>
      <c r="K6" s="194"/>
      <c r="L6" s="194"/>
      <c r="M6" s="194"/>
    </row>
    <row r="7" spans="2:73" ht="35.1" hidden="1" customHeight="1">
      <c r="E7" s="36"/>
      <c r="F7" s="36"/>
      <c r="G7" s="36"/>
      <c r="H7" s="36"/>
      <c r="J7" s="194"/>
      <c r="K7" s="194"/>
      <c r="L7" s="194"/>
      <c r="M7" s="194"/>
    </row>
    <row r="8" spans="2:73" ht="35.1" hidden="1" customHeight="1">
      <c r="E8" s="36"/>
      <c r="F8" s="36"/>
      <c r="G8" s="36"/>
      <c r="H8" s="36"/>
      <c r="J8" s="194"/>
      <c r="K8" s="194"/>
      <c r="L8" s="194"/>
      <c r="M8" s="194"/>
    </row>
    <row r="9" spans="2:73" ht="35.1" hidden="1" customHeight="1">
      <c r="E9" s="36" t="e">
        <f>#REF!</f>
        <v>#REF!</v>
      </c>
      <c r="F9" s="36" t="e">
        <f>#REF!</f>
        <v>#REF!</v>
      </c>
      <c r="G9" s="36" t="e">
        <f>#REF!</f>
        <v>#REF!</v>
      </c>
      <c r="H9" s="36" t="e">
        <f>#REF!</f>
        <v>#REF!</v>
      </c>
      <c r="J9" s="194"/>
      <c r="K9" s="194"/>
      <c r="L9" s="194"/>
      <c r="M9" s="194"/>
      <c r="BS9" s="38" t="e">
        <f>#REF!</f>
        <v>#REF!</v>
      </c>
    </row>
    <row r="10" spans="2:73" ht="35.1" hidden="1" customHeight="1">
      <c r="E10" s="36" t="e">
        <f>SUM(#REF!)</f>
        <v>#REF!</v>
      </c>
      <c r="F10" s="36" t="e">
        <f>SUM(#REF!)</f>
        <v>#REF!</v>
      </c>
      <c r="G10" s="36" t="e">
        <f>SUM(#REF!)</f>
        <v>#REF!</v>
      </c>
      <c r="H10" s="36" t="e">
        <f>SUM(#REF!)</f>
        <v>#REF!</v>
      </c>
      <c r="J10" s="194"/>
      <c r="K10" s="194"/>
      <c r="L10" s="194"/>
      <c r="M10" s="194"/>
      <c r="BS10" s="38" t="e">
        <f>SUM(#REF!)</f>
        <v>#REF!</v>
      </c>
    </row>
    <row r="11" spans="2:73" ht="35.1" hidden="1" customHeight="1">
      <c r="D11" s="41" t="s">
        <v>3</v>
      </c>
      <c r="E11" s="42" t="e">
        <f>E9-SUM(E36:E38)</f>
        <v>#REF!</v>
      </c>
      <c r="F11" s="42" t="e">
        <f>F9-SUM(F36:F38)</f>
        <v>#REF!</v>
      </c>
      <c r="G11" s="42" t="e">
        <f>G9-SUM(G36:G38)</f>
        <v>#REF!</v>
      </c>
      <c r="H11" s="42" t="e">
        <f>H9-SUM(H36:H38)</f>
        <v>#REF!</v>
      </c>
      <c r="I11" s="43"/>
      <c r="J11" s="195"/>
      <c r="K11" s="195"/>
      <c r="L11" s="195"/>
      <c r="M11" s="195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4"/>
    </row>
    <row r="12" spans="2:73" ht="35.1" hidden="1" customHeight="1">
      <c r="D12" s="41" t="s">
        <v>4</v>
      </c>
      <c r="E12" s="36" t="e">
        <f>E10-SUM(E33:E34)</f>
        <v>#REF!</v>
      </c>
      <c r="F12" s="36" t="e">
        <f>F10-SUM(F33:F34)</f>
        <v>#REF!</v>
      </c>
      <c r="G12" s="36" t="e">
        <f>G10-SUM(G33:G34)</f>
        <v>#REF!</v>
      </c>
      <c r="H12" s="36" t="e">
        <f>H10-SUM(H33:H34)</f>
        <v>#REF!</v>
      </c>
      <c r="J12" s="194"/>
      <c r="K12" s="194"/>
      <c r="L12" s="194"/>
      <c r="M12" s="194"/>
    </row>
    <row r="13" spans="2:73" s="36" customFormat="1" ht="35.1" hidden="1" customHeight="1">
      <c r="B13" s="45"/>
      <c r="C13" s="45"/>
      <c r="D13" s="45"/>
      <c r="I13" s="37"/>
      <c r="J13" s="194"/>
      <c r="K13" s="194"/>
      <c r="L13" s="194"/>
      <c r="M13" s="194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8"/>
      <c r="BT13" s="39"/>
    </row>
    <row r="14" spans="2:73" ht="35.1" customHeight="1">
      <c r="B14" s="270">
        <v>46181</v>
      </c>
      <c r="C14" s="271"/>
      <c r="D14" s="271"/>
      <c r="E14" s="254"/>
      <c r="F14" s="255"/>
      <c r="G14" s="255"/>
      <c r="H14" s="256"/>
      <c r="I14" s="238"/>
      <c r="J14" s="244"/>
      <c r="K14" s="244"/>
      <c r="L14" s="244"/>
      <c r="M14" s="245"/>
      <c r="N14" s="285" t="s">
        <v>5</v>
      </c>
      <c r="O14" s="286"/>
      <c r="P14" s="286"/>
      <c r="Q14" s="286"/>
      <c r="R14" s="287"/>
      <c r="S14" s="288" t="s">
        <v>6</v>
      </c>
      <c r="T14" s="289"/>
      <c r="U14" s="289"/>
      <c r="V14" s="289"/>
      <c r="W14" s="290"/>
      <c r="X14" s="240" t="s">
        <v>7</v>
      </c>
      <c r="Y14" s="241"/>
      <c r="Z14" s="241"/>
      <c r="AA14" s="241"/>
      <c r="AB14" s="242"/>
      <c r="AC14" s="240" t="s">
        <v>8</v>
      </c>
      <c r="AD14" s="241"/>
      <c r="AE14" s="241"/>
      <c r="AF14" s="241"/>
      <c r="AG14" s="242"/>
      <c r="AH14" s="259" t="s">
        <v>9</v>
      </c>
      <c r="AI14" s="260"/>
      <c r="AJ14" s="260"/>
      <c r="AK14" s="260"/>
      <c r="AL14" s="261"/>
      <c r="AM14" s="259" t="s">
        <v>9</v>
      </c>
      <c r="AN14" s="260"/>
      <c r="AO14" s="260"/>
      <c r="AP14" s="260"/>
      <c r="AQ14" s="260"/>
      <c r="AR14" s="261"/>
      <c r="AS14" s="291" t="s">
        <v>10</v>
      </c>
      <c r="AT14" s="292"/>
      <c r="AU14" s="292"/>
      <c r="AV14" s="292"/>
      <c r="AW14" s="293"/>
      <c r="AX14" s="291" t="s">
        <v>11</v>
      </c>
      <c r="AY14" s="292"/>
      <c r="AZ14" s="292"/>
      <c r="BA14" s="292"/>
      <c r="BB14" s="293"/>
      <c r="BC14" s="246" t="s">
        <v>12</v>
      </c>
      <c r="BD14" s="247"/>
      <c r="BE14" s="247"/>
      <c r="BF14" s="247"/>
      <c r="BG14" s="248"/>
      <c r="BH14" s="249" t="s">
        <v>13</v>
      </c>
      <c r="BI14" s="250"/>
      <c r="BJ14" s="250"/>
      <c r="BK14" s="250"/>
      <c r="BL14" s="251"/>
      <c r="BM14" s="240" t="s">
        <v>14</v>
      </c>
      <c r="BN14" s="241"/>
      <c r="BO14" s="241"/>
      <c r="BP14" s="241"/>
      <c r="BQ14" s="242"/>
      <c r="BR14" s="228" t="s">
        <v>15</v>
      </c>
      <c r="BS14" s="282" t="s">
        <v>16</v>
      </c>
      <c r="BT14" s="279" t="s">
        <v>17</v>
      </c>
    </row>
    <row r="15" spans="2:73" ht="35.1" customHeight="1">
      <c r="B15" s="268"/>
      <c r="C15" s="269"/>
      <c r="D15" s="269"/>
      <c r="E15" s="252" t="s">
        <v>18</v>
      </c>
      <c r="F15" s="252"/>
      <c r="G15" s="252"/>
      <c r="H15" s="253"/>
      <c r="I15" s="239"/>
      <c r="J15" s="257"/>
      <c r="K15" s="257"/>
      <c r="L15" s="257"/>
      <c r="M15" s="258"/>
      <c r="N15" s="243" t="s">
        <v>19</v>
      </c>
      <c r="O15" s="244"/>
      <c r="P15" s="244"/>
      <c r="Q15" s="244"/>
      <c r="R15" s="245"/>
      <c r="S15" s="243" t="s">
        <v>19</v>
      </c>
      <c r="T15" s="244"/>
      <c r="U15" s="244"/>
      <c r="V15" s="244"/>
      <c r="W15" s="245"/>
      <c r="X15" s="243" t="s">
        <v>19</v>
      </c>
      <c r="Y15" s="244"/>
      <c r="Z15" s="244"/>
      <c r="AA15" s="244"/>
      <c r="AB15" s="245"/>
      <c r="AC15" s="243" t="s">
        <v>19</v>
      </c>
      <c r="AD15" s="244"/>
      <c r="AE15" s="244"/>
      <c r="AF15" s="244"/>
      <c r="AG15" s="245"/>
      <c r="AH15" s="243" t="s">
        <v>19</v>
      </c>
      <c r="AI15" s="244"/>
      <c r="AJ15" s="244"/>
      <c r="AK15" s="244"/>
      <c r="AL15" s="245"/>
      <c r="AM15" s="243" t="s">
        <v>20</v>
      </c>
      <c r="AN15" s="244"/>
      <c r="AO15" s="244"/>
      <c r="AP15" s="244"/>
      <c r="AQ15" s="244"/>
      <c r="AR15" s="245"/>
      <c r="AS15" s="243" t="s">
        <v>19</v>
      </c>
      <c r="AT15" s="244"/>
      <c r="AU15" s="244"/>
      <c r="AV15" s="244"/>
      <c r="AW15" s="294"/>
      <c r="AX15" s="243" t="s">
        <v>19</v>
      </c>
      <c r="AY15" s="244"/>
      <c r="AZ15" s="244"/>
      <c r="BA15" s="244"/>
      <c r="BB15" s="245"/>
      <c r="BC15" s="243" t="s">
        <v>21</v>
      </c>
      <c r="BD15" s="244"/>
      <c r="BE15" s="244"/>
      <c r="BF15" s="244"/>
      <c r="BG15" s="245"/>
      <c r="BH15" s="243" t="s">
        <v>19</v>
      </c>
      <c r="BI15" s="244"/>
      <c r="BJ15" s="244"/>
      <c r="BK15" s="244"/>
      <c r="BL15" s="245"/>
      <c r="BM15" s="243" t="s">
        <v>22</v>
      </c>
      <c r="BN15" s="244"/>
      <c r="BO15" s="244"/>
      <c r="BP15" s="244"/>
      <c r="BQ15" s="245"/>
      <c r="BR15" s="132"/>
      <c r="BS15" s="283"/>
      <c r="BT15" s="280"/>
    </row>
    <row r="16" spans="2:73" ht="35.1" customHeight="1">
      <c r="B16" s="104" t="s">
        <v>23</v>
      </c>
      <c r="C16" s="94" t="s">
        <v>24</v>
      </c>
      <c r="D16" s="83" t="s">
        <v>25</v>
      </c>
      <c r="E16" s="95">
        <v>4</v>
      </c>
      <c r="F16" s="95">
        <v>5</v>
      </c>
      <c r="G16" s="95">
        <v>6</v>
      </c>
      <c r="H16" s="122">
        <v>7</v>
      </c>
      <c r="I16" s="131"/>
      <c r="J16" s="196">
        <v>14</v>
      </c>
      <c r="K16" s="196">
        <v>16</v>
      </c>
      <c r="L16" s="196"/>
      <c r="M16" s="196"/>
      <c r="N16" s="224">
        <v>10</v>
      </c>
      <c r="O16" s="224">
        <v>12</v>
      </c>
      <c r="P16" s="131">
        <v>14</v>
      </c>
      <c r="Q16" s="131">
        <v>16</v>
      </c>
      <c r="R16" s="131">
        <v>18</v>
      </c>
      <c r="S16" s="224">
        <v>10</v>
      </c>
      <c r="T16" s="224">
        <v>12</v>
      </c>
      <c r="U16" s="131">
        <v>14</v>
      </c>
      <c r="V16" s="131">
        <v>16</v>
      </c>
      <c r="W16" s="131">
        <v>18</v>
      </c>
      <c r="X16" s="224">
        <v>10</v>
      </c>
      <c r="Y16" s="224">
        <v>12</v>
      </c>
      <c r="Z16" s="131">
        <v>14</v>
      </c>
      <c r="AA16" s="131">
        <v>16</v>
      </c>
      <c r="AB16" s="131">
        <v>18</v>
      </c>
      <c r="AC16" s="224">
        <v>10</v>
      </c>
      <c r="AD16" s="224">
        <v>12</v>
      </c>
      <c r="AE16" s="131">
        <v>14</v>
      </c>
      <c r="AF16" s="131">
        <v>16</v>
      </c>
      <c r="AG16" s="131">
        <v>18</v>
      </c>
      <c r="AH16" s="224">
        <v>10</v>
      </c>
      <c r="AI16" s="224">
        <v>12</v>
      </c>
      <c r="AJ16" s="131">
        <v>14</v>
      </c>
      <c r="AK16" s="131">
        <v>16</v>
      </c>
      <c r="AL16" s="131">
        <v>18</v>
      </c>
      <c r="AM16" s="224">
        <v>10</v>
      </c>
      <c r="AN16" s="224">
        <v>12</v>
      </c>
      <c r="AO16" s="131">
        <v>14</v>
      </c>
      <c r="AP16" s="131">
        <v>16</v>
      </c>
      <c r="AQ16" s="131">
        <v>18</v>
      </c>
      <c r="AR16" s="131">
        <v>20</v>
      </c>
      <c r="AS16" s="224">
        <v>10</v>
      </c>
      <c r="AT16" s="224">
        <v>12</v>
      </c>
      <c r="AU16" s="131">
        <v>14</v>
      </c>
      <c r="AV16" s="131">
        <v>16</v>
      </c>
      <c r="AW16" s="131">
        <v>18</v>
      </c>
      <c r="AX16" s="224">
        <v>10</v>
      </c>
      <c r="AY16" s="224">
        <v>12</v>
      </c>
      <c r="AZ16" s="131">
        <v>14</v>
      </c>
      <c r="BA16" s="131">
        <v>16</v>
      </c>
      <c r="BB16" s="131">
        <v>18</v>
      </c>
      <c r="BC16" s="224">
        <v>10</v>
      </c>
      <c r="BD16" s="224">
        <v>12</v>
      </c>
      <c r="BE16" s="131">
        <v>14</v>
      </c>
      <c r="BF16" s="131">
        <v>16</v>
      </c>
      <c r="BG16" s="131">
        <v>18</v>
      </c>
      <c r="BH16" s="224">
        <v>10</v>
      </c>
      <c r="BI16" s="224">
        <v>12</v>
      </c>
      <c r="BJ16" s="131">
        <v>14</v>
      </c>
      <c r="BK16" s="131">
        <v>16</v>
      </c>
      <c r="BL16" s="131">
        <v>18</v>
      </c>
      <c r="BM16" s="224">
        <v>10</v>
      </c>
      <c r="BN16" s="224">
        <v>12</v>
      </c>
      <c r="BO16" s="131">
        <v>14</v>
      </c>
      <c r="BP16" s="131">
        <v>16</v>
      </c>
      <c r="BQ16" s="131">
        <v>18</v>
      </c>
      <c r="BR16" s="133" t="s">
        <v>26</v>
      </c>
      <c r="BS16" s="284"/>
      <c r="BT16" s="281"/>
    </row>
    <row r="17" spans="1:121" ht="35.1" customHeight="1">
      <c r="A17" s="34">
        <v>1</v>
      </c>
      <c r="B17" s="105"/>
      <c r="C17" s="96"/>
      <c r="D17" s="214"/>
      <c r="E17" s="97"/>
      <c r="F17" s="101"/>
      <c r="G17" s="101"/>
      <c r="H17" s="124"/>
      <c r="I17" s="118"/>
      <c r="J17" s="98"/>
      <c r="K17" s="187"/>
      <c r="L17" s="197"/>
      <c r="M17" s="197"/>
      <c r="N17" s="97"/>
      <c r="O17" s="97"/>
      <c r="P17" s="97"/>
      <c r="Q17" s="123"/>
      <c r="R17" s="118"/>
      <c r="S17" s="97"/>
      <c r="T17" s="97"/>
      <c r="U17" s="97"/>
      <c r="V17" s="123"/>
      <c r="W17" s="118"/>
      <c r="X17" s="97"/>
      <c r="Y17" s="97"/>
      <c r="Z17" s="97"/>
      <c r="AA17" s="123"/>
      <c r="AB17" s="118"/>
      <c r="AC17" s="97"/>
      <c r="AD17" s="97"/>
      <c r="AE17" s="97"/>
      <c r="AF17" s="123"/>
      <c r="AG17" s="118"/>
      <c r="AH17" s="97"/>
      <c r="AI17" s="97"/>
      <c r="AJ17" s="97"/>
      <c r="AK17" s="123"/>
      <c r="AL17" s="118"/>
      <c r="AM17" s="97"/>
      <c r="AN17" s="97"/>
      <c r="AO17" s="97"/>
      <c r="AP17" s="118"/>
      <c r="AQ17" s="123"/>
      <c r="AR17" s="118"/>
      <c r="AS17" s="97"/>
      <c r="AT17" s="97"/>
      <c r="AU17" s="97"/>
      <c r="AV17" s="123"/>
      <c r="AW17" s="118"/>
      <c r="AX17" s="97"/>
      <c r="AY17" s="97"/>
      <c r="AZ17" s="97"/>
      <c r="BA17" s="123"/>
      <c r="BB17" s="118"/>
      <c r="BC17" s="97"/>
      <c r="BD17" s="97"/>
      <c r="BE17" s="97"/>
      <c r="BF17" s="123"/>
      <c r="BG17" s="118"/>
      <c r="BH17" s="97"/>
      <c r="BI17" s="97"/>
      <c r="BJ17" s="97"/>
      <c r="BK17" s="123"/>
      <c r="BL17" s="118"/>
      <c r="BM17" s="97"/>
      <c r="BN17" s="97"/>
      <c r="BO17" s="97"/>
      <c r="BP17" s="123"/>
      <c r="BQ17" s="118"/>
      <c r="BR17" s="129">
        <v>5</v>
      </c>
      <c r="BS17" s="212">
        <f t="shared" ref="BS17:BS33" si="3">SUM(E17:BR17)</f>
        <v>5</v>
      </c>
      <c r="BT17" s="106"/>
      <c r="CB17" s="46"/>
      <c r="CD17" s="34" t="s">
        <v>27</v>
      </c>
    </row>
    <row r="18" spans="1:121" ht="35.1" customHeight="1">
      <c r="A18" s="34">
        <v>8</v>
      </c>
      <c r="B18" s="105"/>
      <c r="C18" s="96"/>
      <c r="D18" s="113" t="s">
        <v>28</v>
      </c>
      <c r="E18" s="164"/>
      <c r="F18" s="177"/>
      <c r="G18" s="177"/>
      <c r="H18" s="178"/>
      <c r="I18" s="118"/>
      <c r="J18" s="98"/>
      <c r="K18" s="187"/>
      <c r="L18" s="197"/>
      <c r="M18" s="197"/>
      <c r="N18" s="97"/>
      <c r="O18" s="97"/>
      <c r="P18" s="97"/>
      <c r="Q18" s="123"/>
      <c r="R18" s="118"/>
      <c r="S18" s="97"/>
      <c r="T18" s="97"/>
      <c r="U18" s="97"/>
      <c r="V18" s="123"/>
      <c r="W18" s="118"/>
      <c r="X18" s="97"/>
      <c r="Y18" s="97"/>
      <c r="Z18" s="97"/>
      <c r="AA18" s="123"/>
      <c r="AB18" s="118"/>
      <c r="AC18" s="97"/>
      <c r="AD18" s="97"/>
      <c r="AE18" s="97"/>
      <c r="AF18" s="123"/>
      <c r="AG18" s="118"/>
      <c r="AH18" s="97"/>
      <c r="AI18" s="97"/>
      <c r="AJ18" s="97"/>
      <c r="AK18" s="123"/>
      <c r="AL18" s="118"/>
      <c r="AM18" s="97"/>
      <c r="AN18" s="97"/>
      <c r="AO18" s="97"/>
      <c r="AP18" s="118"/>
      <c r="AQ18" s="123"/>
      <c r="AR18" s="118"/>
      <c r="AS18" s="97"/>
      <c r="AT18" s="97"/>
      <c r="AU18" s="97"/>
      <c r="AV18" s="123"/>
      <c r="AW18" s="118"/>
      <c r="AX18" s="97"/>
      <c r="AY18" s="97"/>
      <c r="AZ18" s="97"/>
      <c r="BA18" s="123"/>
      <c r="BB18" s="118"/>
      <c r="BC18" s="97"/>
      <c r="BD18" s="97"/>
      <c r="BE18" s="97"/>
      <c r="BF18" s="123"/>
      <c r="BG18" s="118"/>
      <c r="BH18" s="97"/>
      <c r="BI18" s="97"/>
      <c r="BJ18" s="97"/>
      <c r="BK18" s="123"/>
      <c r="BL18" s="118"/>
      <c r="BM18" s="97"/>
      <c r="BN18" s="97"/>
      <c r="BO18" s="97"/>
      <c r="BP18" s="123"/>
      <c r="BQ18" s="118"/>
      <c r="BR18" s="97"/>
      <c r="BS18" s="158">
        <f>SUM(E18:BR18)</f>
        <v>0</v>
      </c>
      <c r="BT18" s="106"/>
    </row>
    <row r="19" spans="1:121" ht="35.1" customHeight="1">
      <c r="A19" s="34">
        <v>9</v>
      </c>
      <c r="B19" s="105"/>
      <c r="C19" s="96">
        <v>46175</v>
      </c>
      <c r="D19" s="99" t="s">
        <v>29</v>
      </c>
      <c r="E19" s="101"/>
      <c r="F19" s="101"/>
      <c r="G19" s="101"/>
      <c r="H19" s="124"/>
      <c r="I19" s="119"/>
      <c r="J19" s="163"/>
      <c r="K19" s="186"/>
      <c r="L19" s="198"/>
      <c r="M19" s="198"/>
      <c r="N19" s="101"/>
      <c r="O19" s="101"/>
      <c r="P19" s="101">
        <v>279</v>
      </c>
      <c r="Q19" s="123"/>
      <c r="R19" s="118"/>
      <c r="S19" s="97"/>
      <c r="T19" s="97"/>
      <c r="U19" s="97"/>
      <c r="V19" s="123"/>
      <c r="W19" s="118"/>
      <c r="X19" s="97"/>
      <c r="Y19" s="97"/>
      <c r="Z19" s="97"/>
      <c r="AA19" s="123"/>
      <c r="AB19" s="118"/>
      <c r="AC19" s="97"/>
      <c r="AD19" s="97"/>
      <c r="AE19" s="97"/>
      <c r="AF19" s="123"/>
      <c r="AG19" s="118"/>
      <c r="AH19" s="97"/>
      <c r="AI19" s="97"/>
      <c r="AJ19" s="97"/>
      <c r="AK19" s="123"/>
      <c r="AL19" s="118"/>
      <c r="AM19" s="97"/>
      <c r="AN19" s="97"/>
      <c r="AO19" s="97"/>
      <c r="AP19" s="118"/>
      <c r="AQ19" s="123"/>
      <c r="AR19" s="118"/>
      <c r="AS19" s="97"/>
      <c r="AT19" s="97"/>
      <c r="AU19" s="97"/>
      <c r="AV19" s="123"/>
      <c r="AW19" s="118"/>
      <c r="AX19" s="97"/>
      <c r="AY19" s="97"/>
      <c r="AZ19" s="97"/>
      <c r="BA19" s="123"/>
      <c r="BB19" s="118"/>
      <c r="BC19" s="97"/>
      <c r="BD19" s="97"/>
      <c r="BE19" s="97"/>
      <c r="BF19" s="123"/>
      <c r="BG19" s="118"/>
      <c r="BH19" s="97"/>
      <c r="BI19" s="97"/>
      <c r="BJ19" s="97"/>
      <c r="BK19" s="123"/>
      <c r="BL19" s="118"/>
      <c r="BM19" s="97"/>
      <c r="BN19" s="97"/>
      <c r="BO19" s="97"/>
      <c r="BP19" s="123"/>
      <c r="BQ19" s="118"/>
      <c r="BR19" s="97"/>
      <c r="BS19" s="158">
        <f>SUM(E19:BR19)</f>
        <v>279</v>
      </c>
      <c r="BT19" s="106"/>
    </row>
    <row r="20" spans="1:121" ht="35.1" customHeight="1">
      <c r="A20" s="34">
        <v>10</v>
      </c>
      <c r="B20" s="105" t="s">
        <v>30</v>
      </c>
      <c r="C20" s="96">
        <v>46177</v>
      </c>
      <c r="D20" s="99" t="s">
        <v>31</v>
      </c>
      <c r="E20" s="97"/>
      <c r="F20" s="101"/>
      <c r="G20" s="101"/>
      <c r="H20" s="124"/>
      <c r="I20" s="118"/>
      <c r="J20" s="98"/>
      <c r="K20" s="187"/>
      <c r="L20" s="197"/>
      <c r="M20" s="197"/>
      <c r="N20" s="97"/>
      <c r="O20" s="97"/>
      <c r="P20" s="97"/>
      <c r="Q20" s="123"/>
      <c r="R20" s="118"/>
      <c r="S20" s="97"/>
      <c r="T20" s="97"/>
      <c r="U20" s="97">
        <v>440</v>
      </c>
      <c r="V20" s="123"/>
      <c r="W20" s="118">
        <v>35</v>
      </c>
      <c r="X20" s="97"/>
      <c r="Y20" s="97"/>
      <c r="Z20" s="97"/>
      <c r="AA20" s="123"/>
      <c r="AB20" s="118"/>
      <c r="AC20" s="97"/>
      <c r="AD20" s="97"/>
      <c r="AE20" s="97"/>
      <c r="AF20" s="123"/>
      <c r="AG20" s="118"/>
      <c r="AH20" s="97"/>
      <c r="AI20" s="97"/>
      <c r="AJ20" s="97"/>
      <c r="AK20" s="123"/>
      <c r="AL20" s="118"/>
      <c r="AM20" s="97"/>
      <c r="AN20" s="97"/>
      <c r="AO20" s="97"/>
      <c r="AP20" s="118"/>
      <c r="AQ20" s="123"/>
      <c r="AR20" s="118"/>
      <c r="AS20" s="97"/>
      <c r="AT20" s="97"/>
      <c r="AU20" s="97"/>
      <c r="AV20" s="123"/>
      <c r="AW20" s="118"/>
      <c r="AX20" s="97"/>
      <c r="AY20" s="97"/>
      <c r="AZ20" s="97"/>
      <c r="BA20" s="123"/>
      <c r="BB20" s="118"/>
      <c r="BC20" s="97"/>
      <c r="BD20" s="97"/>
      <c r="BE20" s="97"/>
      <c r="BF20" s="123"/>
      <c r="BG20" s="118"/>
      <c r="BH20" s="97"/>
      <c r="BI20" s="97"/>
      <c r="BJ20" s="97"/>
      <c r="BK20" s="123"/>
      <c r="BL20" s="118"/>
      <c r="BM20" s="97"/>
      <c r="BN20" s="97"/>
      <c r="BO20" s="97"/>
      <c r="BP20" s="123"/>
      <c r="BQ20" s="118"/>
      <c r="BR20" s="97"/>
      <c r="BS20" s="158">
        <f t="shared" ref="BS20:BS32" si="4">SUM(E20:BR20)</f>
        <v>475</v>
      </c>
      <c r="BT20" s="106"/>
    </row>
    <row r="21" spans="1:121" ht="34.5" customHeight="1">
      <c r="A21" s="34">
        <v>11</v>
      </c>
      <c r="B21" s="105"/>
      <c r="C21" s="176">
        <v>46177</v>
      </c>
      <c r="D21" s="113" t="s">
        <v>32</v>
      </c>
      <c r="E21" s="114"/>
      <c r="F21" s="115"/>
      <c r="G21" s="115"/>
      <c r="H21" s="125"/>
      <c r="I21" s="171"/>
      <c r="J21" s="199"/>
      <c r="K21" s="200"/>
      <c r="L21" s="201"/>
      <c r="M21" s="201"/>
      <c r="N21" s="170"/>
      <c r="O21" s="170"/>
      <c r="P21" s="170"/>
      <c r="Q21" s="181"/>
      <c r="R21" s="171"/>
      <c r="S21" s="170"/>
      <c r="T21" s="170"/>
      <c r="U21" s="170"/>
      <c r="V21" s="181"/>
      <c r="W21" s="171"/>
      <c r="X21" s="97"/>
      <c r="Y21" s="97"/>
      <c r="Z21" s="97">
        <v>304</v>
      </c>
      <c r="AA21" s="123"/>
      <c r="AB21" s="118">
        <v>60</v>
      </c>
      <c r="AC21" s="97"/>
      <c r="AD21" s="97"/>
      <c r="AE21" s="97"/>
      <c r="AF21" s="123"/>
      <c r="AG21" s="118"/>
      <c r="AH21" s="97"/>
      <c r="AI21" s="97"/>
      <c r="AJ21" s="97"/>
      <c r="AK21" s="123"/>
      <c r="AL21" s="118"/>
      <c r="AM21" s="97"/>
      <c r="AN21" s="97"/>
      <c r="AO21" s="97"/>
      <c r="AP21" s="118"/>
      <c r="AQ21" s="123"/>
      <c r="AR21" s="118"/>
      <c r="AS21" s="97"/>
      <c r="AT21" s="97"/>
      <c r="AU21" s="97"/>
      <c r="AV21" s="123"/>
      <c r="AW21" s="118"/>
      <c r="AX21" s="97"/>
      <c r="AY21" s="97"/>
      <c r="AZ21" s="97"/>
      <c r="BA21" s="123"/>
      <c r="BB21" s="118"/>
      <c r="BC21" s="97"/>
      <c r="BD21" s="97"/>
      <c r="BE21" s="97"/>
      <c r="BF21" s="123"/>
      <c r="BG21" s="118"/>
      <c r="BH21" s="97"/>
      <c r="BI21" s="97"/>
      <c r="BJ21" s="97"/>
      <c r="BK21" s="123"/>
      <c r="BL21" s="118"/>
      <c r="BM21" s="97"/>
      <c r="BN21" s="97"/>
      <c r="BO21" s="97"/>
      <c r="BP21" s="123"/>
      <c r="BQ21" s="118"/>
      <c r="BR21" s="97"/>
      <c r="BS21" s="158">
        <f t="shared" si="4"/>
        <v>364</v>
      </c>
      <c r="BT21" s="106"/>
    </row>
    <row r="22" spans="1:121" ht="35.1" customHeight="1">
      <c r="A22" s="34">
        <v>12</v>
      </c>
      <c r="B22" s="105"/>
      <c r="C22" s="176">
        <v>46178</v>
      </c>
      <c r="D22" s="113" t="s">
        <v>33</v>
      </c>
      <c r="E22" s="114"/>
      <c r="F22" s="115"/>
      <c r="G22" s="115"/>
      <c r="H22" s="125"/>
      <c r="I22" s="171"/>
      <c r="J22" s="199"/>
      <c r="K22" s="200"/>
      <c r="L22" s="201"/>
      <c r="M22" s="201"/>
      <c r="N22" s="170"/>
      <c r="O22" s="170"/>
      <c r="P22" s="170"/>
      <c r="Q22" s="181"/>
      <c r="R22" s="171"/>
      <c r="S22" s="170"/>
      <c r="T22" s="170"/>
      <c r="U22" s="170"/>
      <c r="V22" s="181"/>
      <c r="W22" s="171"/>
      <c r="X22" s="97"/>
      <c r="Y22" s="97"/>
      <c r="Z22" s="97"/>
      <c r="AA22" s="123"/>
      <c r="AB22" s="118"/>
      <c r="AC22" s="97">
        <v>218</v>
      </c>
      <c r="AD22" s="97">
        <v>292</v>
      </c>
      <c r="AE22" s="97">
        <v>309</v>
      </c>
      <c r="AF22" s="123">
        <v>55</v>
      </c>
      <c r="AG22" s="118">
        <v>18</v>
      </c>
      <c r="AH22" s="117"/>
      <c r="AI22" s="117"/>
      <c r="AJ22" s="97"/>
      <c r="AK22" s="97"/>
      <c r="AL22" s="118"/>
      <c r="AM22" s="117"/>
      <c r="AN22" s="117"/>
      <c r="AO22" s="97"/>
      <c r="AP22" s="118"/>
      <c r="AQ22" s="97"/>
      <c r="AR22" s="118"/>
      <c r="AS22" s="117"/>
      <c r="AT22" s="117"/>
      <c r="AU22" s="97"/>
      <c r="AV22" s="97"/>
      <c r="AW22" s="118"/>
      <c r="AX22" s="117"/>
      <c r="AY22" s="117"/>
      <c r="AZ22" s="97"/>
      <c r="BA22" s="97"/>
      <c r="BB22" s="118"/>
      <c r="BC22" s="117"/>
      <c r="BD22" s="117"/>
      <c r="BE22" s="97"/>
      <c r="BF22" s="97"/>
      <c r="BG22" s="118"/>
      <c r="BH22" s="117"/>
      <c r="BI22" s="117"/>
      <c r="BJ22" s="97"/>
      <c r="BK22" s="97"/>
      <c r="BL22" s="118"/>
      <c r="BM22" s="117"/>
      <c r="BN22" s="117"/>
      <c r="BO22" s="97"/>
      <c r="BP22" s="97"/>
      <c r="BQ22" s="118"/>
      <c r="BR22" s="97"/>
      <c r="BS22" s="158">
        <f t="shared" si="4"/>
        <v>892</v>
      </c>
      <c r="BT22" s="106"/>
    </row>
    <row r="23" spans="1:121" ht="35.1" customHeight="1">
      <c r="A23" s="34">
        <v>13</v>
      </c>
      <c r="B23" s="105"/>
      <c r="C23" s="96">
        <v>46181</v>
      </c>
      <c r="D23" s="99" t="s">
        <v>34</v>
      </c>
      <c r="E23" s="101"/>
      <c r="F23" s="101"/>
      <c r="G23" s="101"/>
      <c r="H23" s="124"/>
      <c r="I23" s="119"/>
      <c r="J23" s="163"/>
      <c r="K23" s="186"/>
      <c r="L23" s="198"/>
      <c r="M23" s="198"/>
      <c r="N23" s="101"/>
      <c r="O23" s="101"/>
      <c r="P23" s="101"/>
      <c r="Q23" s="124"/>
      <c r="R23" s="119"/>
      <c r="S23" s="101"/>
      <c r="T23" s="101"/>
      <c r="U23" s="101"/>
      <c r="V23" s="124"/>
      <c r="W23" s="119"/>
      <c r="X23" s="101"/>
      <c r="Y23" s="101"/>
      <c r="Z23" s="101"/>
      <c r="AA23" s="124"/>
      <c r="AB23" s="119"/>
      <c r="AC23" s="101"/>
      <c r="AD23" s="101"/>
      <c r="AE23" s="101"/>
      <c r="AF23" s="124"/>
      <c r="AG23" s="119"/>
      <c r="AH23" s="101">
        <v>194</v>
      </c>
      <c r="AI23" s="101">
        <v>403</v>
      </c>
      <c r="AJ23" s="101">
        <v>218</v>
      </c>
      <c r="AK23" s="124">
        <v>84</v>
      </c>
      <c r="AL23" s="119">
        <v>31</v>
      </c>
      <c r="AM23" s="101">
        <v>11</v>
      </c>
      <c r="AN23" s="101">
        <v>15</v>
      </c>
      <c r="AO23" s="101">
        <v>15</v>
      </c>
      <c r="AP23" s="119">
        <v>3</v>
      </c>
      <c r="AQ23" s="124">
        <v>21</v>
      </c>
      <c r="AR23" s="119">
        <v>5</v>
      </c>
      <c r="AS23" s="101"/>
      <c r="AT23" s="101"/>
      <c r="AU23" s="101"/>
      <c r="AV23" s="124"/>
      <c r="AW23" s="119"/>
      <c r="AX23" s="101"/>
      <c r="AY23" s="101"/>
      <c r="AZ23" s="101"/>
      <c r="BA23" s="124"/>
      <c r="BB23" s="119"/>
      <c r="BC23" s="101"/>
      <c r="BD23" s="101"/>
      <c r="BE23" s="101"/>
      <c r="BF23" s="124"/>
      <c r="BG23" s="119"/>
      <c r="BH23" s="101"/>
      <c r="BI23" s="101"/>
      <c r="BJ23" s="101"/>
      <c r="BK23" s="124"/>
      <c r="BL23" s="119"/>
      <c r="BM23" s="101"/>
      <c r="BN23" s="101"/>
      <c r="BO23" s="101"/>
      <c r="BP23" s="124"/>
      <c r="BQ23" s="119"/>
      <c r="BR23" s="97"/>
      <c r="BS23" s="158">
        <f t="shared" si="4"/>
        <v>1000</v>
      </c>
      <c r="BT23" s="106"/>
    </row>
    <row r="24" spans="1:121" ht="35.1" customHeight="1">
      <c r="A24" s="34">
        <v>14</v>
      </c>
      <c r="B24" s="105"/>
      <c r="C24" s="96">
        <v>46181</v>
      </c>
      <c r="D24" s="99" t="s">
        <v>35</v>
      </c>
      <c r="E24" s="97"/>
      <c r="F24" s="101"/>
      <c r="G24" s="101"/>
      <c r="H24" s="124"/>
      <c r="I24" s="118"/>
      <c r="J24" s="98"/>
      <c r="K24" s="187"/>
      <c r="L24" s="197"/>
      <c r="M24" s="197"/>
      <c r="N24" s="97"/>
      <c r="O24" s="97"/>
      <c r="P24" s="97"/>
      <c r="Q24" s="123"/>
      <c r="R24" s="118"/>
      <c r="S24" s="97"/>
      <c r="T24" s="97"/>
      <c r="U24" s="97"/>
      <c r="V24" s="123"/>
      <c r="W24" s="118"/>
      <c r="X24" s="97"/>
      <c r="Y24" s="97"/>
      <c r="Z24" s="97"/>
      <c r="AA24" s="123"/>
      <c r="AB24" s="118"/>
      <c r="AC24" s="97"/>
      <c r="AD24" s="97"/>
      <c r="AE24" s="97"/>
      <c r="AF24" s="123"/>
      <c r="AG24" s="118"/>
      <c r="AH24" s="97"/>
      <c r="AI24" s="97"/>
      <c r="AJ24" s="97"/>
      <c r="AK24" s="123"/>
      <c r="AL24" s="118"/>
      <c r="AM24" s="97"/>
      <c r="AN24" s="97"/>
      <c r="AO24" s="97"/>
      <c r="AP24" s="118"/>
      <c r="AQ24" s="123"/>
      <c r="AR24" s="118"/>
      <c r="AS24" s="97">
        <v>414</v>
      </c>
      <c r="AT24" s="97">
        <v>589</v>
      </c>
      <c r="AU24" s="97">
        <v>419</v>
      </c>
      <c r="AV24" s="123">
        <v>47</v>
      </c>
      <c r="AW24" s="118">
        <v>31</v>
      </c>
      <c r="AX24" s="97"/>
      <c r="AY24" s="97"/>
      <c r="AZ24" s="97"/>
      <c r="BA24" s="123"/>
      <c r="BB24" s="118"/>
      <c r="BC24" s="97"/>
      <c r="BD24" s="97"/>
      <c r="BE24" s="97"/>
      <c r="BF24" s="123"/>
      <c r="BG24" s="118"/>
      <c r="BH24" s="97"/>
      <c r="BI24" s="97"/>
      <c r="BJ24" s="97"/>
      <c r="BK24" s="123"/>
      <c r="BL24" s="118"/>
      <c r="BM24" s="97"/>
      <c r="BN24" s="97"/>
      <c r="BO24" s="97"/>
      <c r="BP24" s="123"/>
      <c r="BQ24" s="118"/>
      <c r="BR24" s="97"/>
      <c r="BS24" s="158">
        <f t="shared" si="4"/>
        <v>1500</v>
      </c>
      <c r="BT24" s="106"/>
    </row>
    <row r="25" spans="1:121" ht="35.1" customHeight="1">
      <c r="B25" s="105"/>
      <c r="C25" s="96">
        <v>46181</v>
      </c>
      <c r="D25" s="113" t="s">
        <v>36</v>
      </c>
      <c r="E25" s="114"/>
      <c r="F25" s="115"/>
      <c r="G25" s="115"/>
      <c r="H25" s="125"/>
      <c r="I25" s="171"/>
      <c r="J25" s="199"/>
      <c r="K25" s="200"/>
      <c r="L25" s="201"/>
      <c r="M25" s="201"/>
      <c r="N25" s="170"/>
      <c r="O25" s="170"/>
      <c r="P25" s="170"/>
      <c r="Q25" s="181"/>
      <c r="R25" s="171"/>
      <c r="S25" s="170"/>
      <c r="T25" s="170"/>
      <c r="U25" s="170"/>
      <c r="V25" s="181"/>
      <c r="W25" s="171"/>
      <c r="X25" s="97"/>
      <c r="Y25" s="97"/>
      <c r="Z25" s="97"/>
      <c r="AA25" s="123"/>
      <c r="AB25" s="118"/>
      <c r="AC25" s="97"/>
      <c r="AD25" s="97"/>
      <c r="AE25" s="97"/>
      <c r="AF25" s="123"/>
      <c r="AG25" s="118"/>
      <c r="AH25" s="97"/>
      <c r="AI25" s="97"/>
      <c r="AJ25" s="97"/>
      <c r="AK25" s="123"/>
      <c r="AL25" s="118"/>
      <c r="AM25" s="97"/>
      <c r="AN25" s="97"/>
      <c r="AO25" s="97"/>
      <c r="AP25" s="118"/>
      <c r="AQ25" s="123"/>
      <c r="AR25" s="118"/>
      <c r="AS25" s="97"/>
      <c r="AT25" s="97"/>
      <c r="AU25" s="97"/>
      <c r="AV25" s="123"/>
      <c r="AW25" s="118"/>
      <c r="AX25" s="97">
        <v>60</v>
      </c>
      <c r="AY25" s="97">
        <v>178</v>
      </c>
      <c r="AZ25" s="97">
        <v>240</v>
      </c>
      <c r="BA25" s="123">
        <v>22</v>
      </c>
      <c r="BB25" s="118"/>
      <c r="BC25" s="97"/>
      <c r="BD25" s="97"/>
      <c r="BE25" s="97"/>
      <c r="BF25" s="123"/>
      <c r="BG25" s="118"/>
      <c r="BH25" s="97"/>
      <c r="BI25" s="97"/>
      <c r="BJ25" s="97"/>
      <c r="BK25" s="123"/>
      <c r="BL25" s="118"/>
      <c r="BM25" s="97"/>
      <c r="BN25" s="97"/>
      <c r="BO25" s="97"/>
      <c r="BP25" s="123"/>
      <c r="BQ25" s="118"/>
      <c r="BR25" s="97"/>
      <c r="BS25" s="158">
        <f t="shared" si="4"/>
        <v>500</v>
      </c>
      <c r="BT25" s="106"/>
    </row>
    <row r="26" spans="1:121" ht="35.1" customHeight="1">
      <c r="B26" s="226"/>
      <c r="C26" s="96">
        <v>46181</v>
      </c>
      <c r="D26" s="113" t="s">
        <v>36</v>
      </c>
      <c r="E26" s="114"/>
      <c r="F26" s="115"/>
      <c r="G26" s="115"/>
      <c r="H26" s="125"/>
      <c r="I26" s="171"/>
      <c r="J26" s="199"/>
      <c r="K26" s="200"/>
      <c r="L26" s="201"/>
      <c r="M26" s="201"/>
      <c r="N26" s="170"/>
      <c r="O26" s="170"/>
      <c r="P26" s="170"/>
      <c r="Q26" s="181"/>
      <c r="R26" s="171"/>
      <c r="S26" s="170"/>
      <c r="T26" s="170"/>
      <c r="U26" s="170"/>
      <c r="V26" s="181"/>
      <c r="W26" s="171"/>
      <c r="X26" s="97"/>
      <c r="Y26" s="97"/>
      <c r="Z26" s="97"/>
      <c r="AA26" s="123"/>
      <c r="AB26" s="118"/>
      <c r="AC26" s="97"/>
      <c r="AD26" s="97"/>
      <c r="AE26" s="97"/>
      <c r="AF26" s="123"/>
      <c r="AG26" s="118"/>
      <c r="AH26" s="97"/>
      <c r="AI26" s="97"/>
      <c r="AJ26" s="97"/>
      <c r="AK26" s="123"/>
      <c r="AL26" s="118"/>
      <c r="AM26" s="97"/>
      <c r="AN26" s="97"/>
      <c r="AO26" s="97"/>
      <c r="AP26" s="118"/>
      <c r="AQ26" s="123"/>
      <c r="AR26" s="118"/>
      <c r="AS26" s="97"/>
      <c r="AT26" s="97"/>
      <c r="AU26" s="97"/>
      <c r="AV26" s="123"/>
      <c r="AW26" s="118"/>
      <c r="AX26" s="97"/>
      <c r="AY26" s="97"/>
      <c r="AZ26" s="97"/>
      <c r="BA26" s="123"/>
      <c r="BB26" s="118"/>
      <c r="BC26" s="97">
        <v>60</v>
      </c>
      <c r="BD26" s="97">
        <v>542</v>
      </c>
      <c r="BE26" s="97">
        <v>277</v>
      </c>
      <c r="BF26" s="123">
        <v>121</v>
      </c>
      <c r="BG26" s="118"/>
      <c r="BH26" s="97"/>
      <c r="BI26" s="97"/>
      <c r="BJ26" s="97"/>
      <c r="BK26" s="123"/>
      <c r="BL26" s="118"/>
      <c r="BM26" s="97"/>
      <c r="BN26" s="97"/>
      <c r="BO26" s="97"/>
      <c r="BP26" s="123"/>
      <c r="BQ26" s="118"/>
      <c r="BR26" s="114"/>
      <c r="BS26" s="158">
        <f t="shared" si="4"/>
        <v>1000</v>
      </c>
      <c r="BT26" s="106"/>
    </row>
    <row r="27" spans="1:121" ht="35.1" customHeight="1">
      <c r="B27" s="226"/>
      <c r="C27" s="96">
        <v>46181</v>
      </c>
      <c r="D27" s="113" t="s">
        <v>37</v>
      </c>
      <c r="E27" s="114"/>
      <c r="F27" s="115"/>
      <c r="G27" s="115"/>
      <c r="H27" s="125"/>
      <c r="I27" s="171"/>
      <c r="J27" s="199"/>
      <c r="K27" s="200"/>
      <c r="L27" s="201"/>
      <c r="M27" s="201"/>
      <c r="N27" s="170"/>
      <c r="O27" s="170"/>
      <c r="P27" s="170"/>
      <c r="Q27" s="181"/>
      <c r="R27" s="171"/>
      <c r="S27" s="170"/>
      <c r="T27" s="170"/>
      <c r="U27" s="170"/>
      <c r="V27" s="181"/>
      <c r="W27" s="171"/>
      <c r="X27" s="97"/>
      <c r="Y27" s="97"/>
      <c r="Z27" s="97"/>
      <c r="AA27" s="123"/>
      <c r="AB27" s="118"/>
      <c r="AC27" s="97"/>
      <c r="AD27" s="97"/>
      <c r="AE27" s="97"/>
      <c r="AF27" s="123"/>
      <c r="AG27" s="118"/>
      <c r="AH27" s="97"/>
      <c r="AI27" s="97"/>
      <c r="AJ27" s="97"/>
      <c r="AK27" s="123"/>
      <c r="AL27" s="118"/>
      <c r="AM27" s="97"/>
      <c r="AN27" s="97"/>
      <c r="AO27" s="97"/>
      <c r="AP27" s="118"/>
      <c r="AQ27" s="123"/>
      <c r="AR27" s="118"/>
      <c r="AS27" s="97"/>
      <c r="AT27" s="97"/>
      <c r="AU27" s="97"/>
      <c r="AV27" s="123"/>
      <c r="AW27" s="118"/>
      <c r="AX27" s="97"/>
      <c r="AY27" s="97"/>
      <c r="AZ27" s="97"/>
      <c r="BA27" s="123"/>
      <c r="BB27" s="118"/>
      <c r="BC27" s="97"/>
      <c r="BD27" s="97"/>
      <c r="BE27" s="97"/>
      <c r="BF27" s="123"/>
      <c r="BG27" s="118"/>
      <c r="BH27" s="97">
        <v>7</v>
      </c>
      <c r="BI27" s="97">
        <v>262</v>
      </c>
      <c r="BJ27" s="97">
        <v>128</v>
      </c>
      <c r="BK27" s="123">
        <v>30</v>
      </c>
      <c r="BL27" s="118">
        <v>73</v>
      </c>
      <c r="BM27" s="97"/>
      <c r="BN27" s="97"/>
      <c r="BO27" s="97"/>
      <c r="BP27" s="123"/>
      <c r="BQ27" s="118"/>
      <c r="BR27" s="114"/>
      <c r="BS27" s="158">
        <f t="shared" si="4"/>
        <v>500</v>
      </c>
      <c r="BT27" s="106"/>
    </row>
    <row r="28" spans="1:121" ht="35.1" customHeight="1">
      <c r="B28" s="226"/>
      <c r="C28" s="96">
        <v>46181</v>
      </c>
      <c r="D28" s="113" t="s">
        <v>38</v>
      </c>
      <c r="E28" s="114"/>
      <c r="F28" s="115"/>
      <c r="G28" s="115"/>
      <c r="H28" s="125"/>
      <c r="I28" s="171"/>
      <c r="J28" s="199"/>
      <c r="K28" s="200"/>
      <c r="L28" s="201"/>
      <c r="M28" s="201"/>
      <c r="N28" s="170"/>
      <c r="O28" s="170"/>
      <c r="P28" s="170"/>
      <c r="Q28" s="181"/>
      <c r="R28" s="171"/>
      <c r="S28" s="170"/>
      <c r="T28" s="170"/>
      <c r="U28" s="170"/>
      <c r="V28" s="181"/>
      <c r="W28" s="171"/>
      <c r="X28" s="97"/>
      <c r="Y28" s="97"/>
      <c r="Z28" s="97"/>
      <c r="AA28" s="123"/>
      <c r="AB28" s="118"/>
      <c r="AC28" s="97"/>
      <c r="AD28" s="97"/>
      <c r="AE28" s="97"/>
      <c r="AF28" s="123"/>
      <c r="AG28" s="118"/>
      <c r="AH28" s="97"/>
      <c r="AI28" s="97"/>
      <c r="AJ28" s="97"/>
      <c r="AK28" s="123"/>
      <c r="AL28" s="118"/>
      <c r="AM28" s="97"/>
      <c r="AN28" s="97"/>
      <c r="AO28" s="97"/>
      <c r="AP28" s="118"/>
      <c r="AQ28" s="123"/>
      <c r="AR28" s="118"/>
      <c r="AS28" s="97"/>
      <c r="AT28" s="97"/>
      <c r="AU28" s="97"/>
      <c r="AV28" s="123"/>
      <c r="AW28" s="118"/>
      <c r="AX28" s="97"/>
      <c r="AY28" s="97"/>
      <c r="AZ28" s="97"/>
      <c r="BA28" s="123"/>
      <c r="BB28" s="118"/>
      <c r="BC28" s="97"/>
      <c r="BD28" s="97"/>
      <c r="BE28" s="97"/>
      <c r="BF28" s="123"/>
      <c r="BG28" s="118"/>
      <c r="BH28" s="97"/>
      <c r="BI28" s="97"/>
      <c r="BJ28" s="97"/>
      <c r="BK28" s="123"/>
      <c r="BL28" s="118"/>
      <c r="BM28" s="97"/>
      <c r="BN28" s="97"/>
      <c r="BO28" s="97"/>
      <c r="BP28" s="123"/>
      <c r="BQ28" s="118">
        <v>25</v>
      </c>
      <c r="BR28" s="114"/>
      <c r="BS28" s="158">
        <f t="shared" si="4"/>
        <v>25</v>
      </c>
      <c r="BT28" s="106"/>
    </row>
    <row r="29" spans="1:121" ht="35.1" customHeight="1">
      <c r="A29" s="34">
        <v>15</v>
      </c>
      <c r="B29" s="226"/>
      <c r="C29" s="176"/>
      <c r="D29" s="113"/>
      <c r="E29" s="114"/>
      <c r="F29" s="115"/>
      <c r="G29" s="115"/>
      <c r="H29" s="125"/>
      <c r="I29" s="171"/>
      <c r="J29" s="199"/>
      <c r="K29" s="200"/>
      <c r="L29" s="201"/>
      <c r="M29" s="201"/>
      <c r="N29" s="170"/>
      <c r="O29" s="170"/>
      <c r="P29" s="170"/>
      <c r="Q29" s="181"/>
      <c r="R29" s="171"/>
      <c r="S29" s="170"/>
      <c r="T29" s="170"/>
      <c r="U29" s="170"/>
      <c r="V29" s="181"/>
      <c r="W29" s="171"/>
      <c r="X29" s="97"/>
      <c r="Y29" s="97"/>
      <c r="Z29" s="97"/>
      <c r="AA29" s="123"/>
      <c r="AB29" s="118"/>
      <c r="AC29" s="97"/>
      <c r="AD29" s="97"/>
      <c r="AE29" s="97"/>
      <c r="AF29" s="123"/>
      <c r="AG29" s="118"/>
      <c r="AH29" s="97"/>
      <c r="AI29" s="97"/>
      <c r="AJ29" s="97"/>
      <c r="AK29" s="123"/>
      <c r="AL29" s="118"/>
      <c r="AM29" s="97"/>
      <c r="AN29" s="97"/>
      <c r="AO29" s="97"/>
      <c r="AP29" s="118"/>
      <c r="AQ29" s="123"/>
      <c r="AR29" s="118"/>
      <c r="AS29" s="97"/>
      <c r="AT29" s="97"/>
      <c r="AU29" s="97"/>
      <c r="AV29" s="123"/>
      <c r="AW29" s="118"/>
      <c r="AX29" s="97"/>
      <c r="AY29" s="97"/>
      <c r="AZ29" s="97"/>
      <c r="BA29" s="123"/>
      <c r="BB29" s="118"/>
      <c r="BC29" s="97"/>
      <c r="BD29" s="97"/>
      <c r="BE29" s="97"/>
      <c r="BF29" s="123"/>
      <c r="BG29" s="118"/>
      <c r="BH29" s="97"/>
      <c r="BI29" s="97"/>
      <c r="BJ29" s="97"/>
      <c r="BK29" s="123"/>
      <c r="BL29" s="118"/>
      <c r="BM29" s="97"/>
      <c r="BN29" s="97"/>
      <c r="BO29" s="97"/>
      <c r="BP29" s="123"/>
      <c r="BQ29" s="118"/>
      <c r="BR29" s="114"/>
      <c r="BS29" s="158">
        <f t="shared" si="4"/>
        <v>0</v>
      </c>
      <c r="BT29" s="106"/>
    </row>
    <row r="30" spans="1:121" ht="35.1" customHeight="1">
      <c r="B30" s="272"/>
      <c r="C30" s="273"/>
      <c r="D30" s="273"/>
      <c r="E30" s="107">
        <f t="shared" ref="E30:BR30" si="5">SUM(E17:E29)</f>
        <v>0</v>
      </c>
      <c r="F30" s="107">
        <f t="shared" si="5"/>
        <v>0</v>
      </c>
      <c r="G30" s="107">
        <f t="shared" si="5"/>
        <v>0</v>
      </c>
      <c r="H30" s="126">
        <f>SUM(H17:H29)</f>
        <v>0</v>
      </c>
      <c r="I30" s="174">
        <f t="shared" ref="I30" si="6">SUM(I17:I29)</f>
        <v>0</v>
      </c>
      <c r="J30" s="173">
        <f>SUM(J17:J29)</f>
        <v>0</v>
      </c>
      <c r="K30" s="179">
        <f>SUM(K17:K29)</f>
        <v>0</v>
      </c>
      <c r="L30" s="179">
        <f>SUM(L17:L29)</f>
        <v>0</v>
      </c>
      <c r="M30" s="179">
        <f>SUM(M17:M29)</f>
        <v>0</v>
      </c>
      <c r="N30" s="172">
        <f t="shared" ref="N30:Q30" si="7">SUM(N17:N29)</f>
        <v>0</v>
      </c>
      <c r="O30" s="172">
        <f t="shared" si="7"/>
        <v>0</v>
      </c>
      <c r="P30" s="173">
        <f t="shared" si="7"/>
        <v>279</v>
      </c>
      <c r="Q30" s="179">
        <f>SUM(Q17:Q29)</f>
        <v>0</v>
      </c>
      <c r="R30" s="174">
        <f t="shared" ref="R30" si="8">SUM(R17:R29)</f>
        <v>0</v>
      </c>
      <c r="S30" s="172">
        <f t="shared" ref="S30:U30" si="9">SUM(S17:S29)</f>
        <v>0</v>
      </c>
      <c r="T30" s="172">
        <f t="shared" si="9"/>
        <v>0</v>
      </c>
      <c r="U30" s="173">
        <f t="shared" si="9"/>
        <v>440</v>
      </c>
      <c r="V30" s="179">
        <f>SUM(V17:V29)</f>
        <v>0</v>
      </c>
      <c r="W30" s="174">
        <f t="shared" ref="W30:Z30" si="10">SUM(W17:W29)</f>
        <v>35</v>
      </c>
      <c r="X30" s="172">
        <f t="shared" si="10"/>
        <v>0</v>
      </c>
      <c r="Y30" s="172">
        <f t="shared" si="10"/>
        <v>0</v>
      </c>
      <c r="Z30" s="173">
        <f t="shared" si="10"/>
        <v>304</v>
      </c>
      <c r="AA30" s="179">
        <f>SUM(AA17:AA29)</f>
        <v>0</v>
      </c>
      <c r="AB30" s="174">
        <f t="shared" ref="AB30:AE30" si="11">SUM(AB17:AB29)</f>
        <v>60</v>
      </c>
      <c r="AC30" s="172">
        <f t="shared" si="11"/>
        <v>218</v>
      </c>
      <c r="AD30" s="172">
        <f t="shared" si="11"/>
        <v>292</v>
      </c>
      <c r="AE30" s="173">
        <f t="shared" si="11"/>
        <v>309</v>
      </c>
      <c r="AF30" s="179">
        <f>SUM(AF17:AF29)</f>
        <v>55</v>
      </c>
      <c r="AG30" s="174">
        <f t="shared" ref="AG30:AJ30" si="12">SUM(AG17:AG29)</f>
        <v>18</v>
      </c>
      <c r="AH30" s="172">
        <f t="shared" si="12"/>
        <v>194</v>
      </c>
      <c r="AI30" s="172">
        <f t="shared" si="12"/>
        <v>403</v>
      </c>
      <c r="AJ30" s="173">
        <f t="shared" si="12"/>
        <v>218</v>
      </c>
      <c r="AK30" s="179">
        <f>SUM(AK17:AK29)</f>
        <v>84</v>
      </c>
      <c r="AL30" s="174">
        <f t="shared" ref="AL30:AP30" si="13">SUM(AL17:AL29)</f>
        <v>31</v>
      </c>
      <c r="AM30" s="172">
        <f t="shared" si="13"/>
        <v>11</v>
      </c>
      <c r="AN30" s="172">
        <f t="shared" si="13"/>
        <v>15</v>
      </c>
      <c r="AO30" s="173">
        <f t="shared" si="13"/>
        <v>15</v>
      </c>
      <c r="AP30" s="174">
        <f t="shared" si="13"/>
        <v>3</v>
      </c>
      <c r="AQ30" s="179">
        <f>SUM(AQ17:AQ29)</f>
        <v>21</v>
      </c>
      <c r="AR30" s="174">
        <f t="shared" ref="AR30:AU30" si="14">SUM(AR17:AR29)</f>
        <v>5</v>
      </c>
      <c r="AS30" s="172">
        <f t="shared" si="14"/>
        <v>414</v>
      </c>
      <c r="AT30" s="172">
        <f t="shared" si="14"/>
        <v>589</v>
      </c>
      <c r="AU30" s="173">
        <f t="shared" si="14"/>
        <v>419</v>
      </c>
      <c r="AV30" s="179">
        <f>SUM(AV17:AV29)</f>
        <v>47</v>
      </c>
      <c r="AW30" s="174">
        <f t="shared" ref="AW30:AZ30" si="15">SUM(AW17:AW29)</f>
        <v>31</v>
      </c>
      <c r="AX30" s="172">
        <f t="shared" si="15"/>
        <v>60</v>
      </c>
      <c r="AY30" s="172">
        <f t="shared" si="15"/>
        <v>178</v>
      </c>
      <c r="AZ30" s="173">
        <f t="shared" si="15"/>
        <v>240</v>
      </c>
      <c r="BA30" s="179">
        <f>SUM(BA17:BA29)</f>
        <v>22</v>
      </c>
      <c r="BB30" s="174">
        <f t="shared" ref="BB30:BE30" si="16">SUM(BB17:BB29)</f>
        <v>0</v>
      </c>
      <c r="BC30" s="172">
        <f t="shared" si="16"/>
        <v>60</v>
      </c>
      <c r="BD30" s="172">
        <f t="shared" si="16"/>
        <v>542</v>
      </c>
      <c r="BE30" s="173">
        <f t="shared" si="16"/>
        <v>277</v>
      </c>
      <c r="BF30" s="179">
        <f>SUM(BF17:BF29)</f>
        <v>121</v>
      </c>
      <c r="BG30" s="174">
        <f t="shared" ref="BG30:BJ30" si="17">SUM(BG17:BG29)</f>
        <v>0</v>
      </c>
      <c r="BH30" s="172">
        <f t="shared" si="17"/>
        <v>7</v>
      </c>
      <c r="BI30" s="172">
        <f t="shared" si="17"/>
        <v>262</v>
      </c>
      <c r="BJ30" s="173">
        <f t="shared" si="17"/>
        <v>128</v>
      </c>
      <c r="BK30" s="179">
        <f>SUM(BK17:BK29)</f>
        <v>30</v>
      </c>
      <c r="BL30" s="174">
        <f t="shared" ref="BL30:BO30" si="18">SUM(BL17:BL29)</f>
        <v>73</v>
      </c>
      <c r="BM30" s="172">
        <f t="shared" si="18"/>
        <v>0</v>
      </c>
      <c r="BN30" s="172">
        <f t="shared" si="18"/>
        <v>0</v>
      </c>
      <c r="BO30" s="173">
        <f t="shared" si="18"/>
        <v>0</v>
      </c>
      <c r="BP30" s="179">
        <f>SUM(BP17:BP29)</f>
        <v>0</v>
      </c>
      <c r="BQ30" s="174">
        <f t="shared" ref="BQ30" si="19">SUM(BQ17:BQ29)</f>
        <v>25</v>
      </c>
      <c r="BR30" s="108">
        <f t="shared" si="5"/>
        <v>5</v>
      </c>
      <c r="BS30" s="159">
        <f t="shared" si="4"/>
        <v>6540</v>
      </c>
      <c r="BT30" s="110"/>
      <c r="BU30" s="103"/>
    </row>
    <row r="31" spans="1:121" ht="35.1" customHeight="1">
      <c r="B31" s="274"/>
      <c r="C31" s="275"/>
      <c r="D31" s="275"/>
      <c r="E31" s="87">
        <f t="shared" ref="E31:H31" si="20">SUM(E33:E54)</f>
        <v>0</v>
      </c>
      <c r="F31" s="87">
        <f t="shared" si="20"/>
        <v>0</v>
      </c>
      <c r="G31" s="87">
        <f t="shared" si="20"/>
        <v>0</v>
      </c>
      <c r="H31" s="127">
        <f t="shared" si="20"/>
        <v>0</v>
      </c>
      <c r="I31" s="120">
        <f t="shared" ref="I31" si="21">SUM(I33:I57)</f>
        <v>0</v>
      </c>
      <c r="J31" s="102">
        <f>SUM(J33:J57)</f>
        <v>0</v>
      </c>
      <c r="K31" s="120">
        <f>SUM(K33:K57)</f>
        <v>0</v>
      </c>
      <c r="L31" s="120">
        <f>SUM(L33:L57)</f>
        <v>0</v>
      </c>
      <c r="M31" s="120">
        <f>SUM(M33:M57)</f>
        <v>0</v>
      </c>
      <c r="N31" s="102">
        <f t="shared" ref="N31:P31" si="22">SUM(N33:N57)</f>
        <v>0</v>
      </c>
      <c r="O31" s="102">
        <f t="shared" si="22"/>
        <v>0</v>
      </c>
      <c r="P31" s="102">
        <f t="shared" si="22"/>
        <v>150</v>
      </c>
      <c r="Q31" s="120">
        <f>SUM(Q33:Q57)</f>
        <v>0</v>
      </c>
      <c r="R31" s="120">
        <f t="shared" ref="R31" si="23">SUM(R33:R57)</f>
        <v>0</v>
      </c>
      <c r="S31" s="102">
        <f t="shared" ref="S31:U31" si="24">SUM(S33:S57)</f>
        <v>0</v>
      </c>
      <c r="T31" s="102">
        <f t="shared" si="24"/>
        <v>0</v>
      </c>
      <c r="U31" s="102">
        <f t="shared" si="24"/>
        <v>0</v>
      </c>
      <c r="V31" s="120">
        <f>SUM(V33:V57)</f>
        <v>0</v>
      </c>
      <c r="W31" s="120">
        <f t="shared" ref="W31:Z31" si="25">SUM(W33:W57)</f>
        <v>35</v>
      </c>
      <c r="X31" s="102">
        <f t="shared" si="25"/>
        <v>0</v>
      </c>
      <c r="Y31" s="102">
        <f t="shared" si="25"/>
        <v>0</v>
      </c>
      <c r="Z31" s="102">
        <f t="shared" si="25"/>
        <v>0</v>
      </c>
      <c r="AA31" s="120">
        <f>SUM(AA33:AA57)</f>
        <v>0</v>
      </c>
      <c r="AB31" s="120">
        <f t="shared" ref="AB31:AE31" si="26">SUM(AB33:AB57)</f>
        <v>60</v>
      </c>
      <c r="AC31" s="102">
        <f t="shared" si="26"/>
        <v>218</v>
      </c>
      <c r="AD31" s="102">
        <f t="shared" si="26"/>
        <v>72</v>
      </c>
      <c r="AE31" s="102">
        <f t="shared" si="26"/>
        <v>0</v>
      </c>
      <c r="AF31" s="120">
        <f>SUM(AF33:AF57)</f>
        <v>55</v>
      </c>
      <c r="AG31" s="120">
        <f t="shared" ref="AG31:AJ31" si="27">SUM(AG33:AG57)</f>
        <v>0</v>
      </c>
      <c r="AH31" s="102">
        <f t="shared" si="27"/>
        <v>194</v>
      </c>
      <c r="AI31" s="102">
        <f t="shared" si="27"/>
        <v>403</v>
      </c>
      <c r="AJ31" s="102">
        <f t="shared" si="27"/>
        <v>10</v>
      </c>
      <c r="AK31" s="120">
        <f>SUM(AK33:AK57)</f>
        <v>84</v>
      </c>
      <c r="AL31" s="120">
        <f t="shared" ref="AL31:AP31" si="28">SUM(AL33:AL57)</f>
        <v>0</v>
      </c>
      <c r="AM31" s="102">
        <f t="shared" si="28"/>
        <v>11</v>
      </c>
      <c r="AN31" s="102">
        <f t="shared" si="28"/>
        <v>15</v>
      </c>
      <c r="AO31" s="102">
        <f t="shared" si="28"/>
        <v>15</v>
      </c>
      <c r="AP31" s="120">
        <f t="shared" si="28"/>
        <v>3</v>
      </c>
      <c r="AQ31" s="120">
        <f>SUM(AQ33:AQ57)</f>
        <v>21</v>
      </c>
      <c r="AR31" s="120">
        <f t="shared" ref="AR31:AU31" si="29">SUM(AR33:AR57)</f>
        <v>5</v>
      </c>
      <c r="AS31" s="102">
        <f t="shared" si="29"/>
        <v>0</v>
      </c>
      <c r="AT31" s="102">
        <f t="shared" si="29"/>
        <v>0</v>
      </c>
      <c r="AU31" s="102">
        <f t="shared" si="29"/>
        <v>0</v>
      </c>
      <c r="AV31" s="120">
        <f>SUM(AV33:AV57)</f>
        <v>47</v>
      </c>
      <c r="AW31" s="120">
        <f t="shared" ref="AW31:AZ31" si="30">SUM(AW33:AW57)</f>
        <v>0</v>
      </c>
      <c r="AX31" s="102">
        <f t="shared" si="30"/>
        <v>0</v>
      </c>
      <c r="AY31" s="102">
        <f t="shared" si="30"/>
        <v>0</v>
      </c>
      <c r="AZ31" s="102">
        <f t="shared" si="30"/>
        <v>0</v>
      </c>
      <c r="BA31" s="120">
        <f>SUM(BA33:BA57)</f>
        <v>0</v>
      </c>
      <c r="BB31" s="120">
        <f t="shared" ref="BB31:BE31" si="31">SUM(BB33:BB57)</f>
        <v>0</v>
      </c>
      <c r="BC31" s="102">
        <f t="shared" si="31"/>
        <v>0</v>
      </c>
      <c r="BD31" s="102">
        <f t="shared" si="31"/>
        <v>0</v>
      </c>
      <c r="BE31" s="102">
        <f t="shared" si="31"/>
        <v>0</v>
      </c>
      <c r="BF31" s="120">
        <f>SUM(BF33:BF57)</f>
        <v>0</v>
      </c>
      <c r="BG31" s="120">
        <f t="shared" ref="BG31:BJ31" si="32">SUM(BG33:BG57)</f>
        <v>0</v>
      </c>
      <c r="BH31" s="102">
        <f t="shared" si="32"/>
        <v>0</v>
      </c>
      <c r="BI31" s="102">
        <f t="shared" si="32"/>
        <v>0</v>
      </c>
      <c r="BJ31" s="102">
        <f t="shared" si="32"/>
        <v>0</v>
      </c>
      <c r="BK31" s="120">
        <f>SUM(BK33:BK57)</f>
        <v>0</v>
      </c>
      <c r="BL31" s="120">
        <f t="shared" ref="BL31:BO31" si="33">SUM(BL33:BL57)</f>
        <v>0</v>
      </c>
      <c r="BM31" s="102">
        <f t="shared" si="33"/>
        <v>0</v>
      </c>
      <c r="BN31" s="102">
        <f t="shared" si="33"/>
        <v>0</v>
      </c>
      <c r="BO31" s="102">
        <f t="shared" si="33"/>
        <v>0</v>
      </c>
      <c r="BP31" s="120">
        <f>SUM(BP33:BP57)</f>
        <v>0</v>
      </c>
      <c r="BQ31" s="120">
        <f t="shared" ref="BQ31" si="34">SUM(BQ33:BQ57)</f>
        <v>0</v>
      </c>
      <c r="BR31" s="102">
        <v>0</v>
      </c>
      <c r="BS31" s="210">
        <f t="shared" si="4"/>
        <v>1398</v>
      </c>
      <c r="BT31" s="162"/>
      <c r="BU31" s="161" t="s">
        <v>39</v>
      </c>
      <c r="BV31" s="161" t="s">
        <v>40</v>
      </c>
      <c r="BW31" s="278" t="s">
        <v>41</v>
      </c>
      <c r="BX31" s="278"/>
      <c r="BY31" s="160" t="s">
        <v>42</v>
      </c>
      <c r="BZ31" s="160" t="s">
        <v>42</v>
      </c>
      <c r="CA31" s="36" t="s">
        <v>43</v>
      </c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</row>
    <row r="32" spans="1:121" ht="35.1" customHeight="1">
      <c r="B32" s="276"/>
      <c r="C32" s="277"/>
      <c r="D32" s="277"/>
      <c r="E32" s="88">
        <f t="shared" ref="E32:BR32" si="35">E30-E31</f>
        <v>0</v>
      </c>
      <c r="F32" s="88">
        <f t="shared" si="35"/>
        <v>0</v>
      </c>
      <c r="G32" s="88">
        <f t="shared" si="35"/>
        <v>0</v>
      </c>
      <c r="H32" s="134">
        <f t="shared" si="35"/>
        <v>0</v>
      </c>
      <c r="I32" s="135">
        <f t="shared" ref="I32" si="36">I30-I31</f>
        <v>0</v>
      </c>
      <c r="J32" s="202">
        <f>J30-J31</f>
        <v>0</v>
      </c>
      <c r="K32" s="165">
        <f>K30-K31</f>
        <v>0</v>
      </c>
      <c r="L32" s="165">
        <f>L30-L31</f>
        <v>0</v>
      </c>
      <c r="M32" s="165">
        <f>M30-M31</f>
        <v>0</v>
      </c>
      <c r="N32" s="88">
        <f t="shared" ref="N32:Q32" si="37">N30-N31</f>
        <v>0</v>
      </c>
      <c r="O32" s="88">
        <f t="shared" si="37"/>
        <v>0</v>
      </c>
      <c r="P32" s="88">
        <f t="shared" si="37"/>
        <v>129</v>
      </c>
      <c r="Q32" s="165">
        <f>Q30-Q31</f>
        <v>0</v>
      </c>
      <c r="R32" s="135">
        <f t="shared" ref="R32" si="38">R30-R31</f>
        <v>0</v>
      </c>
      <c r="S32" s="88">
        <f t="shared" ref="S32:U32" si="39">S30-S31</f>
        <v>0</v>
      </c>
      <c r="T32" s="88">
        <f t="shared" si="39"/>
        <v>0</v>
      </c>
      <c r="U32" s="88">
        <f t="shared" si="39"/>
        <v>440</v>
      </c>
      <c r="V32" s="165">
        <f>V30-V31</f>
        <v>0</v>
      </c>
      <c r="W32" s="135">
        <f t="shared" ref="W32:Z32" si="40">W30-W31</f>
        <v>0</v>
      </c>
      <c r="X32" s="88">
        <f t="shared" si="40"/>
        <v>0</v>
      </c>
      <c r="Y32" s="88">
        <f t="shared" si="40"/>
        <v>0</v>
      </c>
      <c r="Z32" s="88">
        <f t="shared" si="40"/>
        <v>304</v>
      </c>
      <c r="AA32" s="165">
        <f>AA30-AA31</f>
        <v>0</v>
      </c>
      <c r="AB32" s="135">
        <f t="shared" ref="AB32:AE32" si="41">AB30-AB31</f>
        <v>0</v>
      </c>
      <c r="AC32" s="88">
        <f t="shared" si="41"/>
        <v>0</v>
      </c>
      <c r="AD32" s="88">
        <f t="shared" si="41"/>
        <v>220</v>
      </c>
      <c r="AE32" s="88">
        <f t="shared" si="41"/>
        <v>309</v>
      </c>
      <c r="AF32" s="165">
        <f>AF30-AF31</f>
        <v>0</v>
      </c>
      <c r="AG32" s="135">
        <f t="shared" ref="AG32:AJ32" si="42">AG30-AG31</f>
        <v>18</v>
      </c>
      <c r="AH32" s="88">
        <f t="shared" si="42"/>
        <v>0</v>
      </c>
      <c r="AI32" s="88">
        <f t="shared" si="42"/>
        <v>0</v>
      </c>
      <c r="AJ32" s="88">
        <f t="shared" si="42"/>
        <v>208</v>
      </c>
      <c r="AK32" s="165">
        <f>AK30-AK31</f>
        <v>0</v>
      </c>
      <c r="AL32" s="135">
        <f t="shared" ref="AL32:AP32" si="43">AL30-AL31</f>
        <v>31</v>
      </c>
      <c r="AM32" s="88">
        <f t="shared" si="43"/>
        <v>0</v>
      </c>
      <c r="AN32" s="88">
        <f t="shared" si="43"/>
        <v>0</v>
      </c>
      <c r="AO32" s="88">
        <f t="shared" si="43"/>
        <v>0</v>
      </c>
      <c r="AP32" s="135">
        <f t="shared" si="43"/>
        <v>0</v>
      </c>
      <c r="AQ32" s="165">
        <f>AQ30-AQ31</f>
        <v>0</v>
      </c>
      <c r="AR32" s="135">
        <f t="shared" ref="AR32:AU32" si="44">AR30-AR31</f>
        <v>0</v>
      </c>
      <c r="AS32" s="88">
        <f t="shared" si="44"/>
        <v>414</v>
      </c>
      <c r="AT32" s="88">
        <f t="shared" si="44"/>
        <v>589</v>
      </c>
      <c r="AU32" s="88">
        <f t="shared" si="44"/>
        <v>419</v>
      </c>
      <c r="AV32" s="165">
        <f>AV30-AV31</f>
        <v>0</v>
      </c>
      <c r="AW32" s="135">
        <f t="shared" ref="AW32:AZ32" si="45">AW30-AW31</f>
        <v>31</v>
      </c>
      <c r="AX32" s="88">
        <f t="shared" si="45"/>
        <v>60</v>
      </c>
      <c r="AY32" s="88">
        <f t="shared" si="45"/>
        <v>178</v>
      </c>
      <c r="AZ32" s="88">
        <f t="shared" si="45"/>
        <v>240</v>
      </c>
      <c r="BA32" s="165">
        <f>BA30-BA31</f>
        <v>22</v>
      </c>
      <c r="BB32" s="135">
        <f t="shared" ref="BB32:BE32" si="46">BB30-BB31</f>
        <v>0</v>
      </c>
      <c r="BC32" s="88">
        <f t="shared" si="46"/>
        <v>60</v>
      </c>
      <c r="BD32" s="88">
        <f t="shared" si="46"/>
        <v>542</v>
      </c>
      <c r="BE32" s="88">
        <f t="shared" si="46"/>
        <v>277</v>
      </c>
      <c r="BF32" s="165">
        <f>BF30-BF31</f>
        <v>121</v>
      </c>
      <c r="BG32" s="135">
        <f t="shared" ref="BG32:BJ32" si="47">BG30-BG31</f>
        <v>0</v>
      </c>
      <c r="BH32" s="88">
        <f t="shared" si="47"/>
        <v>7</v>
      </c>
      <c r="BI32" s="88">
        <f t="shared" si="47"/>
        <v>262</v>
      </c>
      <c r="BJ32" s="88">
        <f t="shared" si="47"/>
        <v>128</v>
      </c>
      <c r="BK32" s="165">
        <f>BK30-BK31</f>
        <v>30</v>
      </c>
      <c r="BL32" s="135">
        <f t="shared" ref="BL32:BO32" si="48">BL30-BL31</f>
        <v>73</v>
      </c>
      <c r="BM32" s="88">
        <f t="shared" si="48"/>
        <v>0</v>
      </c>
      <c r="BN32" s="88">
        <f t="shared" si="48"/>
        <v>0</v>
      </c>
      <c r="BO32" s="88">
        <f t="shared" si="48"/>
        <v>0</v>
      </c>
      <c r="BP32" s="165">
        <f>BP30-BP31</f>
        <v>0</v>
      </c>
      <c r="BQ32" s="135">
        <f t="shared" ref="BQ32" si="49">BQ30-BQ31</f>
        <v>25</v>
      </c>
      <c r="BR32" s="89">
        <f t="shared" si="35"/>
        <v>5</v>
      </c>
      <c r="BS32" s="211">
        <f t="shared" si="4"/>
        <v>5142</v>
      </c>
      <c r="BT32" s="110"/>
      <c r="BU32" s="90" t="s">
        <v>44</v>
      </c>
      <c r="BV32" s="47" t="s">
        <v>45</v>
      </c>
      <c r="BW32" s="48" t="s">
        <v>44</v>
      </c>
      <c r="BX32" s="47" t="s">
        <v>45</v>
      </c>
      <c r="BY32" s="78" t="s">
        <v>44</v>
      </c>
      <c r="BZ32" s="78" t="s">
        <v>44</v>
      </c>
      <c r="CA32" s="47" t="s">
        <v>44</v>
      </c>
      <c r="CB32" s="49" t="s">
        <v>46</v>
      </c>
      <c r="CC32" s="49" t="s">
        <v>47</v>
      </c>
      <c r="CD32" s="49" t="s">
        <v>48</v>
      </c>
    </row>
    <row r="33" spans="1:82" ht="35.1" customHeight="1">
      <c r="A33" s="34">
        <v>1</v>
      </c>
      <c r="B33" s="229">
        <v>46174</v>
      </c>
      <c r="C33" s="136" t="s">
        <v>49</v>
      </c>
      <c r="D33" s="136" t="s">
        <v>50</v>
      </c>
      <c r="E33" s="137"/>
      <c r="F33" s="138"/>
      <c r="G33" s="136"/>
      <c r="H33" s="139"/>
      <c r="I33" s="141"/>
      <c r="J33" s="203"/>
      <c r="K33" s="204"/>
      <c r="L33" s="205"/>
      <c r="M33" s="205"/>
      <c r="N33" s="137"/>
      <c r="O33" s="137"/>
      <c r="P33" s="137"/>
      <c r="Q33" s="140"/>
      <c r="R33" s="141"/>
      <c r="S33" s="137"/>
      <c r="T33" s="137"/>
      <c r="U33" s="137"/>
      <c r="V33" s="140"/>
      <c r="W33" s="141"/>
      <c r="X33" s="137"/>
      <c r="Y33" s="137"/>
      <c r="Z33" s="137"/>
      <c r="AA33" s="140"/>
      <c r="AB33" s="141"/>
      <c r="AC33" s="137"/>
      <c r="AD33" s="137"/>
      <c r="AE33" s="137"/>
      <c r="AF33" s="140"/>
      <c r="AG33" s="141"/>
      <c r="AH33" s="137"/>
      <c r="AI33" s="137"/>
      <c r="AJ33" s="137"/>
      <c r="AK33" s="140"/>
      <c r="AL33" s="141"/>
      <c r="AM33" s="137"/>
      <c r="AN33" s="137"/>
      <c r="AO33" s="137"/>
      <c r="AP33" s="141"/>
      <c r="AQ33" s="140"/>
      <c r="AR33" s="141"/>
      <c r="AS33" s="137"/>
      <c r="AT33" s="137"/>
      <c r="AU33" s="137"/>
      <c r="AV33" s="140"/>
      <c r="AW33" s="141"/>
      <c r="AX33" s="137"/>
      <c r="AY33" s="137"/>
      <c r="AZ33" s="137"/>
      <c r="BA33" s="140"/>
      <c r="BB33" s="141"/>
      <c r="BC33" s="137"/>
      <c r="BD33" s="137"/>
      <c r="BE33" s="137"/>
      <c r="BF33" s="140"/>
      <c r="BG33" s="141"/>
      <c r="BH33" s="137"/>
      <c r="BI33" s="137"/>
      <c r="BJ33" s="137"/>
      <c r="BK33" s="140"/>
      <c r="BL33" s="141"/>
      <c r="BM33" s="137"/>
      <c r="BN33" s="137"/>
      <c r="BO33" s="137"/>
      <c r="BP33" s="140"/>
      <c r="BQ33" s="141"/>
      <c r="BR33" s="137"/>
      <c r="BS33" s="237">
        <f t="shared" si="3"/>
        <v>0</v>
      </c>
      <c r="BT33" s="111"/>
      <c r="BU33" s="91">
        <f>SUM(E33:H33)</f>
        <v>0</v>
      </c>
      <c r="BV33" s="50" t="e">
        <f>SUM(#REF!)</f>
        <v>#REF!</v>
      </c>
      <c r="BW33" s="51" t="e">
        <f>SUM(#REF!)</f>
        <v>#REF!</v>
      </c>
      <c r="BX33" s="52" t="e">
        <f>SUM(#REF!)</f>
        <v>#REF!</v>
      </c>
      <c r="BY33" s="53" t="e">
        <f>SUM(#REF!)</f>
        <v>#REF!</v>
      </c>
      <c r="BZ33" s="53" t="e">
        <f>SUM(#REF!)</f>
        <v>#REF!</v>
      </c>
      <c r="CA33" s="52">
        <f t="shared" ref="CA33" si="50">SUM(BR33:BR33)</f>
        <v>0</v>
      </c>
      <c r="CB33" s="54" t="str">
        <f>IFERROR(VLOOKUP(C33&amp;D33,가락!$B$2:$E$498,2,FALSE),"")</f>
        <v/>
      </c>
      <c r="CC33" s="54" t="str">
        <f>IFERROR(VLOOKUP(C33&amp;D33,가락!B1:$E$498,3,FALSE),"")</f>
        <v/>
      </c>
      <c r="CD33" s="54" t="str">
        <f>IFERROR(VLOOKUP(C33&amp;D33,가락!B1:$E$498,4,FALSE),"")</f>
        <v/>
      </c>
    </row>
    <row r="34" spans="1:82" ht="35.1" customHeight="1">
      <c r="B34" s="229">
        <v>46181</v>
      </c>
      <c r="C34" s="193" t="s">
        <v>51</v>
      </c>
      <c r="D34" s="225" t="s">
        <v>52</v>
      </c>
      <c r="E34" s="217"/>
      <c r="F34" s="217"/>
      <c r="G34" s="217"/>
      <c r="H34" s="218"/>
      <c r="I34" s="121"/>
      <c r="J34" s="86"/>
      <c r="K34" s="130"/>
      <c r="L34" s="109"/>
      <c r="M34" s="109"/>
      <c r="N34" s="82"/>
      <c r="O34" s="82"/>
      <c r="P34" s="82">
        <v>150</v>
      </c>
      <c r="Q34" s="128"/>
      <c r="R34" s="121"/>
      <c r="S34" s="82"/>
      <c r="T34" s="82"/>
      <c r="U34" s="82"/>
      <c r="V34" s="128"/>
      <c r="W34" s="121">
        <v>35</v>
      </c>
      <c r="X34" s="82"/>
      <c r="Y34" s="82"/>
      <c r="Z34" s="82"/>
      <c r="AA34" s="128"/>
      <c r="AB34" s="121">
        <v>60</v>
      </c>
      <c r="AC34" s="82"/>
      <c r="AD34" s="82">
        <v>50</v>
      </c>
      <c r="AE34" s="82"/>
      <c r="AF34" s="128">
        <v>55</v>
      </c>
      <c r="AG34" s="121"/>
      <c r="AH34" s="82"/>
      <c r="AI34" s="82"/>
      <c r="AJ34" s="82"/>
      <c r="AK34" s="128">
        <v>50</v>
      </c>
      <c r="AL34" s="121"/>
      <c r="AM34" s="82"/>
      <c r="AN34" s="82"/>
      <c r="AO34" s="82"/>
      <c r="AP34" s="121"/>
      <c r="AQ34" s="128"/>
      <c r="AR34" s="121"/>
      <c r="AS34" s="82"/>
      <c r="AT34" s="82"/>
      <c r="AU34" s="82"/>
      <c r="AV34" s="128"/>
      <c r="AW34" s="121"/>
      <c r="AX34" s="82"/>
      <c r="AY34" s="82"/>
      <c r="AZ34" s="82"/>
      <c r="BA34" s="128"/>
      <c r="BB34" s="121"/>
      <c r="BC34" s="82"/>
      <c r="BD34" s="82"/>
      <c r="BE34" s="82"/>
      <c r="BF34" s="128"/>
      <c r="BG34" s="121"/>
      <c r="BH34" s="82"/>
      <c r="BI34" s="82"/>
      <c r="BJ34" s="82"/>
      <c r="BK34" s="128"/>
      <c r="BL34" s="121"/>
      <c r="BM34" s="82"/>
      <c r="BN34" s="82"/>
      <c r="BO34" s="82"/>
      <c r="BP34" s="128"/>
      <c r="BQ34" s="121"/>
      <c r="BR34" s="82"/>
      <c r="BS34" s="237">
        <f>SUM(E34:BR34)</f>
        <v>400</v>
      </c>
      <c r="BT34" s="112"/>
      <c r="BU34" s="91"/>
      <c r="BV34" s="50"/>
      <c r="BW34" s="51"/>
      <c r="BX34" s="52"/>
      <c r="BY34" s="53"/>
      <c r="BZ34" s="53"/>
      <c r="CA34" s="52"/>
      <c r="CB34" s="55"/>
      <c r="CC34" s="54"/>
      <c r="CD34" s="54"/>
    </row>
    <row r="35" spans="1:82" ht="35.1" customHeight="1">
      <c r="B35" s="229">
        <v>46181</v>
      </c>
      <c r="C35" s="219" t="s">
        <v>53</v>
      </c>
      <c r="D35" s="221" t="s">
        <v>54</v>
      </c>
      <c r="E35" s="217"/>
      <c r="F35" s="217"/>
      <c r="G35" s="217"/>
      <c r="H35" s="218"/>
      <c r="I35" s="121"/>
      <c r="J35" s="86"/>
      <c r="K35" s="130"/>
      <c r="L35" s="109"/>
      <c r="M35" s="109"/>
      <c r="N35" s="82"/>
      <c r="O35" s="82"/>
      <c r="P35" s="82"/>
      <c r="Q35" s="128"/>
      <c r="R35" s="121"/>
      <c r="S35" s="82"/>
      <c r="T35" s="82"/>
      <c r="U35" s="82"/>
      <c r="V35" s="128"/>
      <c r="W35" s="121"/>
      <c r="X35" s="82"/>
      <c r="Y35" s="82"/>
      <c r="Z35" s="82"/>
      <c r="AA35" s="128"/>
      <c r="AB35" s="121"/>
      <c r="AC35" s="82">
        <v>50</v>
      </c>
      <c r="AD35" s="82"/>
      <c r="AE35" s="82"/>
      <c r="AF35" s="128"/>
      <c r="AG35" s="121"/>
      <c r="AH35" s="82"/>
      <c r="AI35" s="82"/>
      <c r="AJ35" s="82"/>
      <c r="AK35" s="128"/>
      <c r="AL35" s="121"/>
      <c r="AM35" s="82"/>
      <c r="AN35" s="82"/>
      <c r="AO35" s="82"/>
      <c r="AP35" s="121"/>
      <c r="AQ35" s="128"/>
      <c r="AR35" s="121"/>
      <c r="AS35" s="82"/>
      <c r="AT35" s="82"/>
      <c r="AU35" s="82"/>
      <c r="AV35" s="128"/>
      <c r="AW35" s="121"/>
      <c r="AX35" s="82"/>
      <c r="AY35" s="82"/>
      <c r="AZ35" s="82"/>
      <c r="BA35" s="128"/>
      <c r="BB35" s="121"/>
      <c r="BC35" s="82"/>
      <c r="BD35" s="82"/>
      <c r="BE35" s="82"/>
      <c r="BF35" s="128"/>
      <c r="BG35" s="121"/>
      <c r="BH35" s="82"/>
      <c r="BI35" s="82"/>
      <c r="BJ35" s="82"/>
      <c r="BK35" s="128"/>
      <c r="BL35" s="121"/>
      <c r="BM35" s="82"/>
      <c r="BN35" s="82"/>
      <c r="BO35" s="82"/>
      <c r="BP35" s="128"/>
      <c r="BQ35" s="121"/>
      <c r="BR35" s="82"/>
      <c r="BS35" s="237">
        <f>SUM(E35:BR35)</f>
        <v>50</v>
      </c>
      <c r="BT35" s="112"/>
      <c r="BU35" s="91"/>
      <c r="BV35" s="50"/>
      <c r="BW35" s="51"/>
      <c r="BX35" s="52"/>
      <c r="BY35" s="53"/>
      <c r="BZ35" s="53"/>
      <c r="CA35" s="52"/>
      <c r="CB35" s="55"/>
      <c r="CC35" s="54"/>
      <c r="CD35" s="54"/>
    </row>
    <row r="36" spans="1:82" ht="35.1" customHeight="1">
      <c r="A36" s="34">
        <v>10</v>
      </c>
      <c r="B36" s="229">
        <v>46181</v>
      </c>
      <c r="C36" s="213" t="s">
        <v>55</v>
      </c>
      <c r="D36" s="220" t="s">
        <v>56</v>
      </c>
      <c r="E36" s="82"/>
      <c r="F36" s="82"/>
      <c r="G36" s="82"/>
      <c r="H36" s="128"/>
      <c r="I36" s="121"/>
      <c r="J36" s="86"/>
      <c r="K36" s="130"/>
      <c r="L36" s="109"/>
      <c r="M36" s="109"/>
      <c r="N36" s="82"/>
      <c r="O36" s="82"/>
      <c r="P36" s="82"/>
      <c r="Q36" s="128"/>
      <c r="R36" s="121"/>
      <c r="S36" s="82"/>
      <c r="T36" s="82"/>
      <c r="U36" s="82"/>
      <c r="V36" s="128"/>
      <c r="W36" s="121"/>
      <c r="X36" s="82"/>
      <c r="Y36" s="82"/>
      <c r="Z36" s="82"/>
      <c r="AA36" s="128"/>
      <c r="AB36" s="121"/>
      <c r="AC36" s="82"/>
      <c r="AD36" s="82">
        <v>22</v>
      </c>
      <c r="AE36" s="82"/>
      <c r="AF36" s="128"/>
      <c r="AG36" s="121"/>
      <c r="AH36" s="82"/>
      <c r="AI36" s="82">
        <v>378</v>
      </c>
      <c r="AJ36" s="82"/>
      <c r="AK36" s="128">
        <v>34</v>
      </c>
      <c r="AL36" s="121"/>
      <c r="AM36" s="82"/>
      <c r="AN36" s="82"/>
      <c r="AO36" s="82"/>
      <c r="AP36" s="121"/>
      <c r="AQ36" s="128"/>
      <c r="AR36" s="121"/>
      <c r="AS36" s="82"/>
      <c r="AT36" s="82"/>
      <c r="AU36" s="82"/>
      <c r="AV36" s="128">
        <v>47</v>
      </c>
      <c r="AW36" s="121"/>
      <c r="AX36" s="82"/>
      <c r="AY36" s="82"/>
      <c r="AZ36" s="82"/>
      <c r="BA36" s="128"/>
      <c r="BB36" s="121"/>
      <c r="BC36" s="82"/>
      <c r="BD36" s="82"/>
      <c r="BE36" s="82"/>
      <c r="BF36" s="128"/>
      <c r="BG36" s="121"/>
      <c r="BH36" s="82"/>
      <c r="BI36" s="82"/>
      <c r="BJ36" s="82"/>
      <c r="BK36" s="128"/>
      <c r="BL36" s="121"/>
      <c r="BM36" s="82"/>
      <c r="BN36" s="82"/>
      <c r="BO36" s="82"/>
      <c r="BP36" s="128"/>
      <c r="BQ36" s="121"/>
      <c r="BR36" s="82"/>
      <c r="BS36" s="237">
        <f>SUM(E36:BR36)</f>
        <v>481</v>
      </c>
      <c r="BT36" s="112"/>
      <c r="BU36" s="91">
        <f>SUM(E36:H36)</f>
        <v>0</v>
      </c>
      <c r="BV36" s="50" t="e">
        <f>SUM(#REF!)</f>
        <v>#REF!</v>
      </c>
      <c r="BW36" s="51" t="e">
        <f>SUM(#REF!)</f>
        <v>#REF!</v>
      </c>
      <c r="BX36" s="52" t="e">
        <f>SUM(#REF!)</f>
        <v>#REF!</v>
      </c>
      <c r="BY36" s="53" t="e">
        <f>SUM(#REF!)</f>
        <v>#REF!</v>
      </c>
      <c r="BZ36" s="53" t="e">
        <f>SUM(#REF!)</f>
        <v>#REF!</v>
      </c>
      <c r="CA36" s="52">
        <f>SUM(BR36:BR36)</f>
        <v>0</v>
      </c>
      <c r="CB36" s="54" t="str">
        <f>IFERROR(VLOOKUP(#REF!&amp;#REF!,가락!$B$2:$E$498,2,FALSE),"")</f>
        <v/>
      </c>
      <c r="CC36" s="54" t="str">
        <f>IFERROR(VLOOKUP(#REF!&amp;#REF!,가락!B13:$E$498,3,FALSE),"")</f>
        <v/>
      </c>
      <c r="CD36" s="54" t="str">
        <f>IFERROR(VLOOKUP(#REF!&amp;#REF!,가락!B13:$E$498,4,FALSE),"")</f>
        <v/>
      </c>
    </row>
    <row r="37" spans="1:82" ht="35.1" customHeight="1">
      <c r="A37" s="34">
        <v>11</v>
      </c>
      <c r="B37" s="229">
        <v>46181</v>
      </c>
      <c r="C37" s="213" t="s">
        <v>57</v>
      </c>
      <c r="D37" s="185" t="s">
        <v>58</v>
      </c>
      <c r="E37" s="82"/>
      <c r="F37" s="82"/>
      <c r="G37" s="82"/>
      <c r="H37" s="128"/>
      <c r="I37" s="121"/>
      <c r="J37" s="86"/>
      <c r="K37" s="130"/>
      <c r="L37" s="109"/>
      <c r="M37" s="109"/>
      <c r="N37" s="82"/>
      <c r="O37" s="82"/>
      <c r="P37" s="82"/>
      <c r="Q37" s="128"/>
      <c r="R37" s="121"/>
      <c r="S37" s="82"/>
      <c r="T37" s="82"/>
      <c r="U37" s="82"/>
      <c r="V37" s="128"/>
      <c r="W37" s="121"/>
      <c r="X37" s="82"/>
      <c r="Y37" s="82"/>
      <c r="Z37" s="82"/>
      <c r="AA37" s="128"/>
      <c r="AB37" s="121"/>
      <c r="AC37" s="82"/>
      <c r="AD37" s="82"/>
      <c r="AE37" s="82"/>
      <c r="AF37" s="128"/>
      <c r="AG37" s="121"/>
      <c r="AH37" s="82"/>
      <c r="AI37" s="82"/>
      <c r="AJ37" s="82"/>
      <c r="AK37" s="128"/>
      <c r="AL37" s="121"/>
      <c r="AM37" s="82">
        <v>11</v>
      </c>
      <c r="AN37" s="82">
        <v>15</v>
      </c>
      <c r="AO37" s="82">
        <v>15</v>
      </c>
      <c r="AP37" s="121">
        <v>3</v>
      </c>
      <c r="AQ37" s="128">
        <v>21</v>
      </c>
      <c r="AR37" s="121">
        <v>5</v>
      </c>
      <c r="AS37" s="82"/>
      <c r="AT37" s="82"/>
      <c r="AU37" s="82"/>
      <c r="AV37" s="128"/>
      <c r="AW37" s="121"/>
      <c r="AX37" s="82"/>
      <c r="AY37" s="82"/>
      <c r="AZ37" s="82"/>
      <c r="BA37" s="128"/>
      <c r="BB37" s="121"/>
      <c r="BC37" s="82"/>
      <c r="BD37" s="82"/>
      <c r="BE37" s="82"/>
      <c r="BF37" s="128"/>
      <c r="BG37" s="121"/>
      <c r="BH37" s="82"/>
      <c r="BI37" s="82"/>
      <c r="BJ37" s="82"/>
      <c r="BK37" s="128"/>
      <c r="BL37" s="121"/>
      <c r="BM37" s="82"/>
      <c r="BN37" s="82"/>
      <c r="BO37" s="82"/>
      <c r="BP37" s="128"/>
      <c r="BQ37" s="121"/>
      <c r="BR37" s="82"/>
      <c r="BS37" s="237">
        <f>SUM(E37:BR37)</f>
        <v>70</v>
      </c>
      <c r="BT37" s="227"/>
      <c r="BU37" s="91">
        <f>SUM(E37:H37)</f>
        <v>0</v>
      </c>
      <c r="BV37" s="50" t="e">
        <f>SUM(#REF!)</f>
        <v>#REF!</v>
      </c>
      <c r="BW37" s="51" t="e">
        <f>SUM(#REF!)</f>
        <v>#REF!</v>
      </c>
      <c r="BX37" s="52" t="e">
        <f>SUM(#REF!)</f>
        <v>#REF!</v>
      </c>
      <c r="BY37" s="53" t="e">
        <f>SUM(#REF!)</f>
        <v>#REF!</v>
      </c>
      <c r="BZ37" s="53" t="e">
        <f>SUM(#REF!)</f>
        <v>#REF!</v>
      </c>
      <c r="CA37" s="52">
        <f>SUM(BR37:BR37)</f>
        <v>0</v>
      </c>
      <c r="CB37" s="54"/>
      <c r="CC37" s="54" t="str">
        <f>IFERROR(VLOOKUP(D39&amp;#REF!,가락!B15:$E$498,3,FALSE),"")</f>
        <v/>
      </c>
      <c r="CD37" s="54" t="str">
        <f>IFERROR(VLOOKUP(D39&amp;#REF!,가락!B15:$E$498,4,FALSE),"")</f>
        <v/>
      </c>
    </row>
    <row r="38" spans="1:82" ht="35.1" customHeight="1">
      <c r="A38" s="34">
        <v>12</v>
      </c>
      <c r="B38" s="229">
        <v>46181</v>
      </c>
      <c r="C38" s="193" t="s">
        <v>59</v>
      </c>
      <c r="D38" s="182" t="s">
        <v>60</v>
      </c>
      <c r="E38" s="82"/>
      <c r="F38" s="82"/>
      <c r="G38" s="82"/>
      <c r="H38" s="128"/>
      <c r="I38" s="121"/>
      <c r="J38" s="86"/>
      <c r="K38" s="130"/>
      <c r="L38" s="109"/>
      <c r="M38" s="109"/>
      <c r="N38" s="82"/>
      <c r="O38" s="82"/>
      <c r="P38" s="82"/>
      <c r="Q38" s="128"/>
      <c r="R38" s="121"/>
      <c r="S38" s="82"/>
      <c r="T38" s="82"/>
      <c r="U38" s="82"/>
      <c r="V38" s="128"/>
      <c r="W38" s="121"/>
      <c r="X38" s="82"/>
      <c r="Y38" s="82"/>
      <c r="Z38" s="82"/>
      <c r="AA38" s="128"/>
      <c r="AB38" s="121"/>
      <c r="AC38" s="82"/>
      <c r="AD38" s="82"/>
      <c r="AE38" s="82"/>
      <c r="AF38" s="128"/>
      <c r="AG38" s="121"/>
      <c r="AH38" s="82">
        <v>25</v>
      </c>
      <c r="AI38" s="82">
        <v>25</v>
      </c>
      <c r="AJ38" s="82">
        <v>10</v>
      </c>
      <c r="AK38" s="128"/>
      <c r="AL38" s="121"/>
      <c r="AM38" s="82"/>
      <c r="AN38" s="82"/>
      <c r="AO38" s="82"/>
      <c r="AP38" s="121"/>
      <c r="AQ38" s="128"/>
      <c r="AR38" s="121"/>
      <c r="AS38" s="82"/>
      <c r="AT38" s="82"/>
      <c r="AU38" s="82"/>
      <c r="AV38" s="128"/>
      <c r="AW38" s="121"/>
      <c r="AX38" s="82"/>
      <c r="AY38" s="82"/>
      <c r="AZ38" s="82"/>
      <c r="BA38" s="128"/>
      <c r="BB38" s="121"/>
      <c r="BC38" s="82"/>
      <c r="BD38" s="82"/>
      <c r="BE38" s="82"/>
      <c r="BF38" s="128"/>
      <c r="BG38" s="121"/>
      <c r="BH38" s="82"/>
      <c r="BI38" s="82"/>
      <c r="BJ38" s="82"/>
      <c r="BK38" s="128"/>
      <c r="BL38" s="121"/>
      <c r="BM38" s="82"/>
      <c r="BN38" s="82"/>
      <c r="BO38" s="82"/>
      <c r="BP38" s="128"/>
      <c r="BQ38" s="121"/>
      <c r="BR38" s="82"/>
      <c r="BS38" s="237">
        <f>SUM(E38:BR38)</f>
        <v>60</v>
      </c>
      <c r="BT38" s="112"/>
      <c r="BU38" s="91">
        <f>SUM(E38:H38)</f>
        <v>0</v>
      </c>
      <c r="BV38" s="50" t="e">
        <f>SUM(#REF!)</f>
        <v>#REF!</v>
      </c>
      <c r="BW38" s="51" t="e">
        <f>SUM(#REF!)</f>
        <v>#REF!</v>
      </c>
      <c r="BX38" s="52" t="e">
        <f>SUM(#REF!)</f>
        <v>#REF!</v>
      </c>
      <c r="BY38" s="53" t="e">
        <f>SUM(#REF!)</f>
        <v>#REF!</v>
      </c>
      <c r="BZ38" s="53" t="e">
        <f>SUM(#REF!)</f>
        <v>#REF!</v>
      </c>
      <c r="CA38" s="52">
        <f>SUM(BR38:BR38)</f>
        <v>0</v>
      </c>
      <c r="CB38" s="54" t="str">
        <f>IFERROR(VLOOKUP(#REF!&amp;#REF!,가락!$B$2:$E$498,2,FALSE),"")</f>
        <v/>
      </c>
      <c r="CC38" s="54" t="str">
        <f>IFERROR(VLOOKUP(#REF!&amp;#REF!,가락!B16:$E$498,3,FALSE),"")</f>
        <v/>
      </c>
      <c r="CD38" s="54" t="str">
        <f>IFERROR(VLOOKUP(#REF!&amp;#REF!,가락!B16:$E$498,4,FALSE),"")</f>
        <v/>
      </c>
    </row>
    <row r="39" spans="1:82" ht="36" customHeight="1">
      <c r="A39" s="34">
        <v>13</v>
      </c>
      <c r="B39" s="229">
        <v>46181</v>
      </c>
      <c r="C39" s="190" t="s">
        <v>61</v>
      </c>
      <c r="D39" s="85" t="s">
        <v>62</v>
      </c>
      <c r="E39" s="82"/>
      <c r="F39" s="82"/>
      <c r="G39" s="82"/>
      <c r="H39" s="128"/>
      <c r="I39" s="121"/>
      <c r="J39" s="86"/>
      <c r="K39" s="130"/>
      <c r="L39" s="109"/>
      <c r="M39" s="109"/>
      <c r="N39" s="82"/>
      <c r="O39" s="82"/>
      <c r="P39" s="82"/>
      <c r="Q39" s="128"/>
      <c r="R39" s="121"/>
      <c r="S39" s="82"/>
      <c r="T39" s="82"/>
      <c r="U39" s="82"/>
      <c r="V39" s="128"/>
      <c r="W39" s="121"/>
      <c r="X39" s="82"/>
      <c r="Y39" s="82"/>
      <c r="Z39" s="82"/>
      <c r="AA39" s="128"/>
      <c r="AB39" s="121"/>
      <c r="AC39" s="82">
        <v>168</v>
      </c>
      <c r="AD39" s="82"/>
      <c r="AE39" s="82"/>
      <c r="AF39" s="128"/>
      <c r="AG39" s="121"/>
      <c r="AH39" s="82">
        <v>169</v>
      </c>
      <c r="AI39" s="82"/>
      <c r="AJ39" s="82"/>
      <c r="AK39" s="128"/>
      <c r="AL39" s="121"/>
      <c r="AM39" s="82"/>
      <c r="AN39" s="82"/>
      <c r="AO39" s="82"/>
      <c r="AP39" s="121"/>
      <c r="AQ39" s="128"/>
      <c r="AR39" s="121"/>
      <c r="AS39" s="82"/>
      <c r="AT39" s="82"/>
      <c r="AU39" s="82"/>
      <c r="AV39" s="128"/>
      <c r="AW39" s="121"/>
      <c r="AX39" s="82"/>
      <c r="AY39" s="82"/>
      <c r="AZ39" s="82"/>
      <c r="BA39" s="128"/>
      <c r="BB39" s="121"/>
      <c r="BC39" s="82"/>
      <c r="BD39" s="82"/>
      <c r="BE39" s="82"/>
      <c r="BF39" s="128"/>
      <c r="BG39" s="121"/>
      <c r="BH39" s="82"/>
      <c r="BI39" s="82"/>
      <c r="BJ39" s="82"/>
      <c r="BK39" s="128"/>
      <c r="BL39" s="121"/>
      <c r="BM39" s="82"/>
      <c r="BN39" s="82"/>
      <c r="BO39" s="82"/>
      <c r="BP39" s="128"/>
      <c r="BQ39" s="121"/>
      <c r="BR39" s="82"/>
      <c r="BS39" s="237">
        <f>SUM(E39:BR39)</f>
        <v>337</v>
      </c>
      <c r="BU39" s="91">
        <f>SUM(E39:H39)</f>
        <v>0</v>
      </c>
      <c r="BV39" s="50" t="e">
        <f>SUM(#REF!)</f>
        <v>#REF!</v>
      </c>
      <c r="BW39" s="51" t="e">
        <f>SUM(#REF!)</f>
        <v>#REF!</v>
      </c>
      <c r="BX39" s="52" t="e">
        <f>SUM(#REF!)</f>
        <v>#REF!</v>
      </c>
      <c r="BY39" s="53" t="e">
        <f>SUM(#REF!)</f>
        <v>#REF!</v>
      </c>
      <c r="BZ39" s="53" t="e">
        <f>SUM(#REF!)</f>
        <v>#REF!</v>
      </c>
      <c r="CA39" s="52">
        <f>SUM(BR39:BR39)</f>
        <v>0</v>
      </c>
      <c r="CB39" s="54" t="str">
        <f>IFERROR(VLOOKUP(#REF!&amp;C39,가락!$B$2:$E$498,2,FALSE),"")</f>
        <v/>
      </c>
      <c r="CC39" s="54" t="str">
        <f>IFERROR(VLOOKUP(#REF!&amp;C39,가락!B18:$E$498,3,FALSE),"")</f>
        <v/>
      </c>
      <c r="CD39" s="54" t="str">
        <f>IFERROR(VLOOKUP(#REF!&amp;C39,가락!B18:$E$498,4,FALSE),"")</f>
        <v/>
      </c>
    </row>
    <row r="40" spans="1:82" ht="35.1" customHeight="1">
      <c r="B40" s="229"/>
      <c r="C40" s="190"/>
      <c r="D40" s="223"/>
      <c r="E40" s="82"/>
      <c r="F40" s="82"/>
      <c r="G40" s="82"/>
      <c r="H40" s="128"/>
      <c r="I40" s="121"/>
      <c r="J40" s="86"/>
      <c r="K40" s="130"/>
      <c r="L40" s="109"/>
      <c r="M40" s="109"/>
      <c r="N40" s="82"/>
      <c r="O40" s="82"/>
      <c r="P40" s="82"/>
      <c r="Q40" s="128"/>
      <c r="R40" s="121"/>
      <c r="S40" s="82"/>
      <c r="T40" s="82"/>
      <c r="U40" s="82"/>
      <c r="V40" s="128"/>
      <c r="W40" s="121"/>
      <c r="X40" s="82"/>
      <c r="Y40" s="82"/>
      <c r="Z40" s="82"/>
      <c r="AA40" s="128"/>
      <c r="AB40" s="121"/>
      <c r="AC40" s="82"/>
      <c r="AD40" s="82"/>
      <c r="AE40" s="82"/>
      <c r="AF40" s="128"/>
      <c r="AG40" s="121"/>
      <c r="AH40" s="82"/>
      <c r="AI40" s="82"/>
      <c r="AJ40" s="82"/>
      <c r="AK40" s="128"/>
      <c r="AL40" s="121"/>
      <c r="AM40" s="82"/>
      <c r="AN40" s="82"/>
      <c r="AO40" s="82"/>
      <c r="AP40" s="121"/>
      <c r="AQ40" s="128"/>
      <c r="AR40" s="121"/>
      <c r="AS40" s="82"/>
      <c r="AT40" s="82"/>
      <c r="AU40" s="82"/>
      <c r="AV40" s="128"/>
      <c r="AW40" s="121"/>
      <c r="AX40" s="82"/>
      <c r="AY40" s="82"/>
      <c r="AZ40" s="82"/>
      <c r="BA40" s="128"/>
      <c r="BB40" s="121"/>
      <c r="BC40" s="82"/>
      <c r="BD40" s="82"/>
      <c r="BE40" s="82"/>
      <c r="BF40" s="128"/>
      <c r="BG40" s="121"/>
      <c r="BH40" s="82"/>
      <c r="BI40" s="82"/>
      <c r="BJ40" s="82"/>
      <c r="BK40" s="128"/>
      <c r="BL40" s="121"/>
      <c r="BM40" s="82"/>
      <c r="BN40" s="82"/>
      <c r="BO40" s="82"/>
      <c r="BP40" s="128"/>
      <c r="BQ40" s="121"/>
      <c r="BR40" s="82"/>
      <c r="BS40" s="237">
        <f>SUM(E40:BR40)</f>
        <v>0</v>
      </c>
      <c r="BT40" s="111"/>
      <c r="BU40" s="91"/>
      <c r="BV40" s="50"/>
      <c r="BW40" s="51"/>
      <c r="BX40" s="52"/>
      <c r="BY40" s="53"/>
      <c r="BZ40" s="53"/>
      <c r="CA40" s="52"/>
      <c r="CB40" s="54"/>
      <c r="CC40" s="54"/>
      <c r="CD40" s="54"/>
    </row>
    <row r="41" spans="1:82" ht="35.1" customHeight="1">
      <c r="B41" s="216"/>
      <c r="C41" s="191"/>
      <c r="D41" s="234"/>
      <c r="E41" s="82"/>
      <c r="F41" s="82"/>
      <c r="G41" s="82"/>
      <c r="H41" s="128"/>
      <c r="I41" s="121"/>
      <c r="J41" s="86"/>
      <c r="K41" s="130"/>
      <c r="L41" s="109"/>
      <c r="M41" s="109"/>
      <c r="N41" s="82"/>
      <c r="O41" s="82"/>
      <c r="P41" s="215"/>
      <c r="Q41" s="128"/>
      <c r="R41" s="121"/>
      <c r="S41" s="230"/>
      <c r="T41" s="235"/>
      <c r="U41" s="231"/>
      <c r="V41" s="232"/>
      <c r="W41" s="236"/>
      <c r="X41" s="230"/>
      <c r="Y41" s="230"/>
      <c r="Z41" s="215"/>
      <c r="AA41" s="128"/>
      <c r="AB41" s="121"/>
      <c r="AC41" s="230"/>
      <c r="AD41" s="235"/>
      <c r="AE41" s="215"/>
      <c r="AF41" s="128"/>
      <c r="AG41" s="121"/>
      <c r="AH41" s="230"/>
      <c r="AI41" s="230"/>
      <c r="AJ41" s="215"/>
      <c r="AK41" s="128"/>
      <c r="AL41" s="121"/>
      <c r="AM41" s="230"/>
      <c r="AN41" s="230"/>
      <c r="AO41" s="215"/>
      <c r="AP41" s="121"/>
      <c r="AQ41" s="128"/>
      <c r="AR41" s="121"/>
      <c r="AS41" s="230"/>
      <c r="AT41" s="230"/>
      <c r="AU41" s="215"/>
      <c r="AV41" s="128"/>
      <c r="AW41" s="121"/>
      <c r="AX41" s="230"/>
      <c r="AY41" s="230"/>
      <c r="AZ41" s="215"/>
      <c r="BA41" s="128"/>
      <c r="BB41" s="121"/>
      <c r="BC41" s="230"/>
      <c r="BD41" s="230"/>
      <c r="BE41" s="215"/>
      <c r="BF41" s="128"/>
      <c r="BG41" s="121"/>
      <c r="BH41" s="230"/>
      <c r="BI41" s="230"/>
      <c r="BJ41" s="215"/>
      <c r="BK41" s="128"/>
      <c r="BL41" s="121"/>
      <c r="BM41" s="230"/>
      <c r="BN41" s="230"/>
      <c r="BO41" s="215"/>
      <c r="BP41" s="128"/>
      <c r="BQ41" s="121"/>
      <c r="BR41" s="82"/>
      <c r="BS41" s="237">
        <f>SUM(E41:BR41)</f>
        <v>0</v>
      </c>
      <c r="BT41" s="111"/>
      <c r="BU41" s="91"/>
      <c r="BV41" s="50"/>
      <c r="BW41" s="51"/>
      <c r="BX41" s="52"/>
      <c r="BY41" s="53"/>
      <c r="BZ41" s="53"/>
      <c r="CA41" s="52"/>
      <c r="CB41" s="54"/>
      <c r="CC41" s="54"/>
      <c r="CD41" s="54"/>
    </row>
    <row r="42" spans="1:82" ht="35.1" customHeight="1">
      <c r="B42" s="192"/>
      <c r="C42" s="191"/>
      <c r="D42" s="85"/>
      <c r="E42" s="82"/>
      <c r="F42" s="82"/>
      <c r="G42" s="82"/>
      <c r="H42" s="128"/>
      <c r="I42" s="121"/>
      <c r="J42" s="86"/>
      <c r="K42" s="130"/>
      <c r="L42" s="109"/>
      <c r="M42" s="109"/>
      <c r="N42" s="82"/>
      <c r="O42" s="82"/>
      <c r="P42" s="82"/>
      <c r="Q42" s="128"/>
      <c r="R42" s="121"/>
      <c r="S42" s="230"/>
      <c r="T42" s="230"/>
      <c r="U42" s="230"/>
      <c r="V42" s="232"/>
      <c r="W42" s="233"/>
      <c r="X42" s="230"/>
      <c r="Y42" s="230"/>
      <c r="Z42" s="82"/>
      <c r="AA42" s="128"/>
      <c r="AB42" s="121"/>
      <c r="AC42" s="230"/>
      <c r="AD42" s="230"/>
      <c r="AE42" s="82"/>
      <c r="AF42" s="128"/>
      <c r="AG42" s="121"/>
      <c r="AH42" s="230"/>
      <c r="AI42" s="230"/>
      <c r="AJ42" s="82"/>
      <c r="AK42" s="128"/>
      <c r="AL42" s="121"/>
      <c r="AM42" s="230"/>
      <c r="AN42" s="230"/>
      <c r="AO42" s="82"/>
      <c r="AP42" s="121"/>
      <c r="AQ42" s="128"/>
      <c r="AR42" s="121"/>
      <c r="AS42" s="230"/>
      <c r="AT42" s="230"/>
      <c r="AU42" s="82"/>
      <c r="AV42" s="128"/>
      <c r="AW42" s="121"/>
      <c r="AX42" s="230"/>
      <c r="AY42" s="230"/>
      <c r="AZ42" s="82"/>
      <c r="BA42" s="128"/>
      <c r="BB42" s="121"/>
      <c r="BC42" s="230"/>
      <c r="BD42" s="230"/>
      <c r="BE42" s="82"/>
      <c r="BF42" s="128"/>
      <c r="BG42" s="121"/>
      <c r="BH42" s="230"/>
      <c r="BI42" s="230"/>
      <c r="BJ42" s="82"/>
      <c r="BK42" s="128"/>
      <c r="BL42" s="121"/>
      <c r="BM42" s="230"/>
      <c r="BN42" s="230"/>
      <c r="BO42" s="82"/>
      <c r="BP42" s="128"/>
      <c r="BQ42" s="121"/>
      <c r="BR42" s="82"/>
      <c r="BS42" s="237">
        <f>SUM(E42:BR42)</f>
        <v>0</v>
      </c>
      <c r="BT42" s="112"/>
      <c r="BU42" s="91"/>
      <c r="BV42" s="50"/>
      <c r="BW42" s="51"/>
      <c r="BX42" s="52"/>
      <c r="BY42" s="53"/>
      <c r="BZ42" s="53"/>
      <c r="CA42" s="52"/>
      <c r="CB42" s="54"/>
      <c r="CC42" s="54"/>
      <c r="CD42" s="54"/>
    </row>
    <row r="43" spans="1:82" ht="35.1" customHeight="1">
      <c r="A43" s="34">
        <v>18</v>
      </c>
      <c r="B43" s="192"/>
      <c r="C43" s="191"/>
      <c r="D43" s="85"/>
      <c r="E43" s="82"/>
      <c r="F43" s="82"/>
      <c r="G43" s="82"/>
      <c r="H43" s="128"/>
      <c r="I43" s="121"/>
      <c r="J43" s="86"/>
      <c r="K43" s="130"/>
      <c r="L43" s="109"/>
      <c r="M43" s="109"/>
      <c r="N43" s="82"/>
      <c r="O43" s="82"/>
      <c r="P43" s="82"/>
      <c r="Q43" s="128"/>
      <c r="R43" s="121"/>
      <c r="S43" s="230"/>
      <c r="T43" s="230"/>
      <c r="U43" s="230"/>
      <c r="V43" s="232"/>
      <c r="W43" s="233"/>
      <c r="X43" s="230"/>
      <c r="Y43" s="230"/>
      <c r="Z43" s="82"/>
      <c r="AA43" s="128"/>
      <c r="AB43" s="121"/>
      <c r="AC43" s="230"/>
      <c r="AD43" s="230"/>
      <c r="AE43" s="82"/>
      <c r="AF43" s="128"/>
      <c r="AG43" s="121"/>
      <c r="AH43" s="230"/>
      <c r="AI43" s="230"/>
      <c r="AJ43" s="82"/>
      <c r="AK43" s="128"/>
      <c r="AL43" s="121"/>
      <c r="AM43" s="230"/>
      <c r="AN43" s="230"/>
      <c r="AO43" s="82"/>
      <c r="AP43" s="121"/>
      <c r="AQ43" s="128"/>
      <c r="AR43" s="121"/>
      <c r="AS43" s="230"/>
      <c r="AT43" s="230"/>
      <c r="AU43" s="82"/>
      <c r="AV43" s="128"/>
      <c r="AW43" s="121"/>
      <c r="AX43" s="230"/>
      <c r="AY43" s="230"/>
      <c r="AZ43" s="82"/>
      <c r="BA43" s="128"/>
      <c r="BB43" s="121"/>
      <c r="BC43" s="230"/>
      <c r="BD43" s="230"/>
      <c r="BE43" s="82"/>
      <c r="BF43" s="128"/>
      <c r="BG43" s="121"/>
      <c r="BH43" s="230"/>
      <c r="BI43" s="230"/>
      <c r="BJ43" s="82"/>
      <c r="BK43" s="128"/>
      <c r="BL43" s="121"/>
      <c r="BM43" s="230"/>
      <c r="BN43" s="230"/>
      <c r="BO43" s="82"/>
      <c r="BP43" s="128"/>
      <c r="BQ43" s="121"/>
      <c r="BR43" s="82"/>
      <c r="BS43" s="212">
        <f>SUM(E43:BR43)</f>
        <v>0</v>
      </c>
      <c r="BT43" s="111"/>
      <c r="BU43" s="91">
        <f>SUM(E43:H43)</f>
        <v>0</v>
      </c>
      <c r="BV43" s="50" t="e">
        <f>SUM(#REF!)</f>
        <v>#REF!</v>
      </c>
      <c r="BW43" s="51" t="e">
        <f>SUM(#REF!)</f>
        <v>#REF!</v>
      </c>
      <c r="BX43" s="52" t="e">
        <f>SUM(#REF!)</f>
        <v>#REF!</v>
      </c>
      <c r="BY43" s="53" t="e">
        <f>SUM(#REF!)</f>
        <v>#REF!</v>
      </c>
      <c r="BZ43" s="53" t="e">
        <f>SUM(#REF!)</f>
        <v>#REF!</v>
      </c>
      <c r="CA43" s="52">
        <f>SUM(BR43:BR43)</f>
        <v>0</v>
      </c>
      <c r="CB43" s="54" t="str">
        <f>IFERROR(VLOOKUP(C48&amp;D43,가락!$B$2:$E$498,2,FALSE),"")</f>
        <v/>
      </c>
      <c r="CC43" s="54" t="str">
        <f>IFERROR(VLOOKUP(C48&amp;D43,가락!B24:$E$498,3,FALSE),"")</f>
        <v/>
      </c>
      <c r="CD43" s="54" t="str">
        <f>IFERROR(VLOOKUP(C48&amp;D43,가락!B24:$E$498,4,FALSE),"")</f>
        <v/>
      </c>
    </row>
    <row r="44" spans="1:82" ht="35.1" customHeight="1">
      <c r="A44" s="34">
        <v>20</v>
      </c>
      <c r="B44" s="192"/>
      <c r="C44" s="191"/>
      <c r="D44" s="84"/>
      <c r="E44" s="82"/>
      <c r="F44" s="82"/>
      <c r="G44" s="82"/>
      <c r="H44" s="128"/>
      <c r="I44" s="121"/>
      <c r="J44" s="86"/>
      <c r="K44" s="130"/>
      <c r="L44" s="109"/>
      <c r="M44" s="109"/>
      <c r="N44" s="82"/>
      <c r="O44" s="82"/>
      <c r="P44" s="82"/>
      <c r="Q44" s="128"/>
      <c r="R44" s="121"/>
      <c r="S44" s="82"/>
      <c r="T44" s="82"/>
      <c r="U44" s="82"/>
      <c r="V44" s="128"/>
      <c r="W44" s="121"/>
      <c r="X44" s="82"/>
      <c r="Y44" s="82"/>
      <c r="Z44" s="82"/>
      <c r="AA44" s="128"/>
      <c r="AB44" s="121"/>
      <c r="AC44" s="82"/>
      <c r="AD44" s="82"/>
      <c r="AE44" s="82"/>
      <c r="AF44" s="128"/>
      <c r="AG44" s="121"/>
      <c r="AH44" s="82"/>
      <c r="AI44" s="82"/>
      <c r="AJ44" s="82"/>
      <c r="AK44" s="128"/>
      <c r="AL44" s="121"/>
      <c r="AM44" s="82"/>
      <c r="AN44" s="82"/>
      <c r="AO44" s="82"/>
      <c r="AP44" s="121"/>
      <c r="AQ44" s="128"/>
      <c r="AR44" s="121"/>
      <c r="AS44" s="82"/>
      <c r="AT44" s="82"/>
      <c r="AU44" s="82"/>
      <c r="AV44" s="128"/>
      <c r="AW44" s="121"/>
      <c r="AX44" s="82"/>
      <c r="AY44" s="82"/>
      <c r="AZ44" s="82"/>
      <c r="BA44" s="128"/>
      <c r="BB44" s="121"/>
      <c r="BC44" s="82"/>
      <c r="BD44" s="82"/>
      <c r="BE44" s="82"/>
      <c r="BF44" s="128"/>
      <c r="BG44" s="121"/>
      <c r="BH44" s="82"/>
      <c r="BI44" s="82"/>
      <c r="BJ44" s="82"/>
      <c r="BK44" s="128"/>
      <c r="BL44" s="121"/>
      <c r="BM44" s="82"/>
      <c r="BN44" s="82"/>
      <c r="BO44" s="82"/>
      <c r="BP44" s="128"/>
      <c r="BQ44" s="121"/>
      <c r="BR44" s="82"/>
      <c r="BS44" s="212">
        <f t="shared" ref="BS44:BS59" si="51">SUM(E44:BR44)</f>
        <v>0</v>
      </c>
      <c r="BT44" s="111"/>
      <c r="BU44" s="91">
        <f t="shared" ref="BU44:BU52" si="52">SUM(E44:H44)</f>
        <v>0</v>
      </c>
      <c r="BV44" s="50" t="e">
        <f>SUM(#REF!)</f>
        <v>#REF!</v>
      </c>
      <c r="BW44" s="51" t="e">
        <f>SUM(#REF!)</f>
        <v>#REF!</v>
      </c>
      <c r="BX44" s="52" t="e">
        <f>SUM(#REF!)</f>
        <v>#REF!</v>
      </c>
      <c r="BY44" s="53" t="e">
        <f>SUM(#REF!)</f>
        <v>#REF!</v>
      </c>
      <c r="BZ44" s="53" t="e">
        <f>SUM(#REF!)</f>
        <v>#REF!</v>
      </c>
      <c r="CA44" s="52">
        <f t="shared" ref="CA44:CA52" si="53">SUM(BR44:BR44)</f>
        <v>0</v>
      </c>
      <c r="CB44" s="54" t="str">
        <f>IFERROR(VLOOKUP(C44&amp;D44,가락!$B$2:$E$498,2,FALSE),"")</f>
        <v/>
      </c>
      <c r="CC44" s="54" t="str">
        <f>IFERROR(VLOOKUP(C44&amp;D44,가락!B26:$E$498,3,FALSE),"")</f>
        <v/>
      </c>
      <c r="CD44" s="54" t="str">
        <f>IFERROR(VLOOKUP(C44&amp;D44,가락!B26:$E$498,4,FALSE),"")</f>
        <v/>
      </c>
    </row>
    <row r="45" spans="1:82" ht="35.1" customHeight="1">
      <c r="A45" s="34">
        <v>21</v>
      </c>
      <c r="B45" s="175"/>
      <c r="C45" s="189"/>
      <c r="D45" s="85"/>
      <c r="E45" s="82"/>
      <c r="F45" s="82"/>
      <c r="G45" s="82"/>
      <c r="H45" s="128"/>
      <c r="I45" s="121"/>
      <c r="J45" s="86"/>
      <c r="K45" s="130"/>
      <c r="L45" s="109"/>
      <c r="M45" s="109"/>
      <c r="N45" s="82"/>
      <c r="O45" s="82"/>
      <c r="P45" s="82"/>
      <c r="Q45" s="128"/>
      <c r="R45" s="121"/>
      <c r="S45" s="82"/>
      <c r="T45" s="82"/>
      <c r="U45" s="82"/>
      <c r="V45" s="128"/>
      <c r="W45" s="121"/>
      <c r="X45" s="82"/>
      <c r="Y45" s="82"/>
      <c r="Z45" s="82"/>
      <c r="AA45" s="128"/>
      <c r="AB45" s="121"/>
      <c r="AC45" s="82"/>
      <c r="AD45" s="82"/>
      <c r="AE45" s="82"/>
      <c r="AF45" s="128"/>
      <c r="AG45" s="121"/>
      <c r="AH45" s="82"/>
      <c r="AI45" s="82"/>
      <c r="AJ45" s="82"/>
      <c r="AK45" s="128"/>
      <c r="AL45" s="121"/>
      <c r="AM45" s="82"/>
      <c r="AN45" s="82"/>
      <c r="AO45" s="82"/>
      <c r="AP45" s="121"/>
      <c r="AQ45" s="128"/>
      <c r="AR45" s="121"/>
      <c r="AS45" s="82"/>
      <c r="AT45" s="82"/>
      <c r="AU45" s="82"/>
      <c r="AV45" s="128"/>
      <c r="AW45" s="121"/>
      <c r="AX45" s="82"/>
      <c r="AY45" s="82"/>
      <c r="AZ45" s="82"/>
      <c r="BA45" s="128"/>
      <c r="BB45" s="121"/>
      <c r="BC45" s="82"/>
      <c r="BD45" s="82"/>
      <c r="BE45" s="82"/>
      <c r="BF45" s="128"/>
      <c r="BG45" s="121"/>
      <c r="BH45" s="82"/>
      <c r="BI45" s="82"/>
      <c r="BJ45" s="82"/>
      <c r="BK45" s="128"/>
      <c r="BL45" s="121"/>
      <c r="BM45" s="82"/>
      <c r="BN45" s="82"/>
      <c r="BO45" s="82"/>
      <c r="BP45" s="128"/>
      <c r="BQ45" s="121"/>
      <c r="BR45" s="82"/>
      <c r="BS45" s="212">
        <f t="shared" si="51"/>
        <v>0</v>
      </c>
      <c r="BT45" s="111"/>
      <c r="BU45" s="91">
        <f t="shared" si="52"/>
        <v>0</v>
      </c>
      <c r="BV45" s="50" t="e">
        <f>SUM(#REF!)</f>
        <v>#REF!</v>
      </c>
      <c r="BW45" s="51" t="e">
        <f>SUM(#REF!)</f>
        <v>#REF!</v>
      </c>
      <c r="BX45" s="52" t="e">
        <f>SUM(#REF!)</f>
        <v>#REF!</v>
      </c>
      <c r="BY45" s="53" t="e">
        <f>SUM(#REF!)</f>
        <v>#REF!</v>
      </c>
      <c r="BZ45" s="53" t="e">
        <f>SUM(#REF!)</f>
        <v>#REF!</v>
      </c>
      <c r="CA45" s="52">
        <f t="shared" si="53"/>
        <v>0</v>
      </c>
      <c r="CB45" s="54" t="str">
        <f>IFERROR(VLOOKUP(C45&amp;D47,가락!$B$2:$E$498,2,FALSE),"")</f>
        <v/>
      </c>
      <c r="CC45" s="54" t="str">
        <f>IFERROR(VLOOKUP(C45&amp;D47,가락!B27:$E$498,3,FALSE),"")</f>
        <v/>
      </c>
      <c r="CD45" s="54" t="str">
        <f>IFERROR(VLOOKUP(C45&amp;D47,가락!B27:$E$498,4,FALSE),"")</f>
        <v/>
      </c>
    </row>
    <row r="46" spans="1:82" ht="35.1" customHeight="1">
      <c r="A46" s="34">
        <v>24</v>
      </c>
      <c r="B46" s="175"/>
      <c r="C46" s="189"/>
      <c r="D46" s="84"/>
      <c r="E46" s="82"/>
      <c r="F46" s="82"/>
      <c r="G46" s="82"/>
      <c r="H46" s="128"/>
      <c r="I46" s="121"/>
      <c r="J46" s="86"/>
      <c r="K46" s="130"/>
      <c r="L46" s="109"/>
      <c r="M46" s="109"/>
      <c r="N46" s="82"/>
      <c r="O46" s="82"/>
      <c r="P46" s="82"/>
      <c r="Q46" s="128"/>
      <c r="R46" s="121"/>
      <c r="S46" s="82"/>
      <c r="T46" s="82"/>
      <c r="U46" s="82"/>
      <c r="V46" s="128"/>
      <c r="W46" s="121"/>
      <c r="X46" s="82"/>
      <c r="Y46" s="82"/>
      <c r="Z46" s="82"/>
      <c r="AA46" s="128"/>
      <c r="AB46" s="121"/>
      <c r="AC46" s="82"/>
      <c r="AD46" s="82"/>
      <c r="AE46" s="82"/>
      <c r="AF46" s="128"/>
      <c r="AG46" s="121"/>
      <c r="AH46" s="82"/>
      <c r="AI46" s="82"/>
      <c r="AJ46" s="82"/>
      <c r="AK46" s="128"/>
      <c r="AL46" s="121"/>
      <c r="AM46" s="82"/>
      <c r="AN46" s="82"/>
      <c r="AO46" s="82"/>
      <c r="AP46" s="121"/>
      <c r="AQ46" s="128"/>
      <c r="AR46" s="121"/>
      <c r="AS46" s="82"/>
      <c r="AT46" s="82"/>
      <c r="AU46" s="82"/>
      <c r="AV46" s="128"/>
      <c r="AW46" s="121"/>
      <c r="AX46" s="82"/>
      <c r="AY46" s="82"/>
      <c r="AZ46" s="82"/>
      <c r="BA46" s="128"/>
      <c r="BB46" s="121"/>
      <c r="BC46" s="82"/>
      <c r="BD46" s="82"/>
      <c r="BE46" s="82"/>
      <c r="BF46" s="128"/>
      <c r="BG46" s="121"/>
      <c r="BH46" s="82"/>
      <c r="BI46" s="82"/>
      <c r="BJ46" s="82"/>
      <c r="BK46" s="128"/>
      <c r="BL46" s="121"/>
      <c r="BM46" s="82"/>
      <c r="BN46" s="82"/>
      <c r="BO46" s="82"/>
      <c r="BP46" s="128"/>
      <c r="BQ46" s="121"/>
      <c r="BR46" s="82"/>
      <c r="BS46" s="212">
        <f t="shared" si="51"/>
        <v>0</v>
      </c>
      <c r="BT46" s="111"/>
      <c r="BU46" s="91">
        <f t="shared" si="52"/>
        <v>0</v>
      </c>
      <c r="BV46" s="50" t="e">
        <f>SUM(#REF!)</f>
        <v>#REF!</v>
      </c>
      <c r="BW46" s="51" t="e">
        <f>SUM(#REF!)</f>
        <v>#REF!</v>
      </c>
      <c r="BX46" s="52" t="e">
        <f>SUM(#REF!)</f>
        <v>#REF!</v>
      </c>
      <c r="BY46" s="53" t="e">
        <f>SUM(#REF!)</f>
        <v>#REF!</v>
      </c>
      <c r="BZ46" s="53" t="e">
        <f>SUM(#REF!)</f>
        <v>#REF!</v>
      </c>
      <c r="CA46" s="52">
        <f t="shared" si="53"/>
        <v>0</v>
      </c>
      <c r="CB46" s="54" t="str">
        <f>IFERROR(VLOOKUP(C46&amp;#REF!,가락!$B$2:$E$498,2,FALSE),"")</f>
        <v/>
      </c>
      <c r="CC46" s="54" t="str">
        <f>IFERROR(VLOOKUP(C46&amp;#REF!,가락!B28:$E$498,3,FALSE),"")</f>
        <v/>
      </c>
      <c r="CD46" s="54" t="str">
        <f>IFERROR(VLOOKUP(C46&amp;#REF!,가락!B28:$E$498,4,FALSE),"")</f>
        <v/>
      </c>
    </row>
    <row r="47" spans="1:82" ht="35.1" customHeight="1">
      <c r="A47" s="34">
        <v>25</v>
      </c>
      <c r="B47" s="175"/>
      <c r="C47" s="100"/>
      <c r="D47" s="185"/>
      <c r="E47" s="82"/>
      <c r="F47" s="82"/>
      <c r="G47" s="82"/>
      <c r="H47" s="128"/>
      <c r="I47" s="121"/>
      <c r="J47" s="86"/>
      <c r="K47" s="130"/>
      <c r="L47" s="109"/>
      <c r="M47" s="109"/>
      <c r="N47" s="82"/>
      <c r="O47" s="82"/>
      <c r="P47" s="82"/>
      <c r="Q47" s="128"/>
      <c r="R47" s="121"/>
      <c r="S47" s="82"/>
      <c r="T47" s="82"/>
      <c r="U47" s="82"/>
      <c r="V47" s="128"/>
      <c r="W47" s="121"/>
      <c r="X47" s="82"/>
      <c r="Y47" s="82"/>
      <c r="Z47" s="82"/>
      <c r="AA47" s="128"/>
      <c r="AB47" s="121"/>
      <c r="AC47" s="82"/>
      <c r="AD47" s="82"/>
      <c r="AE47" s="82"/>
      <c r="AF47" s="128"/>
      <c r="AG47" s="121"/>
      <c r="AH47" s="82"/>
      <c r="AI47" s="82"/>
      <c r="AJ47" s="82"/>
      <c r="AK47" s="128"/>
      <c r="AL47" s="121"/>
      <c r="AM47" s="82"/>
      <c r="AN47" s="82"/>
      <c r="AO47" s="82"/>
      <c r="AP47" s="121"/>
      <c r="AQ47" s="128"/>
      <c r="AR47" s="121"/>
      <c r="AS47" s="82"/>
      <c r="AT47" s="82"/>
      <c r="AU47" s="82"/>
      <c r="AV47" s="128"/>
      <c r="AW47" s="121"/>
      <c r="AX47" s="82"/>
      <c r="AY47" s="82"/>
      <c r="AZ47" s="82"/>
      <c r="BA47" s="128"/>
      <c r="BB47" s="121"/>
      <c r="BC47" s="82"/>
      <c r="BD47" s="82"/>
      <c r="BE47" s="82"/>
      <c r="BF47" s="128"/>
      <c r="BG47" s="121"/>
      <c r="BH47" s="82"/>
      <c r="BI47" s="82"/>
      <c r="BJ47" s="82"/>
      <c r="BK47" s="128"/>
      <c r="BL47" s="121"/>
      <c r="BM47" s="82"/>
      <c r="BN47" s="82"/>
      <c r="BO47" s="82"/>
      <c r="BP47" s="128"/>
      <c r="BQ47" s="121"/>
      <c r="BR47" s="82"/>
      <c r="BS47" s="212">
        <f t="shared" si="51"/>
        <v>0</v>
      </c>
      <c r="BT47" s="222"/>
      <c r="BU47" s="91">
        <f t="shared" si="52"/>
        <v>0</v>
      </c>
      <c r="BV47" s="50" t="e">
        <f>SUM(#REF!)</f>
        <v>#REF!</v>
      </c>
      <c r="BW47" s="51" t="e">
        <f>SUM(#REF!)</f>
        <v>#REF!</v>
      </c>
      <c r="BX47" s="52" t="e">
        <f>SUM(#REF!)</f>
        <v>#REF!</v>
      </c>
      <c r="BY47" s="53" t="e">
        <f>SUM(#REF!)</f>
        <v>#REF!</v>
      </c>
      <c r="BZ47" s="53" t="e">
        <f>SUM(#REF!)</f>
        <v>#REF!</v>
      </c>
      <c r="CA47" s="52">
        <f t="shared" si="53"/>
        <v>0</v>
      </c>
      <c r="CB47" s="54" t="str">
        <f>IFERROR(VLOOKUP(C47&amp;#REF!,가락!$B$2:$E$498,2,FALSE),"")</f>
        <v/>
      </c>
      <c r="CC47" s="54" t="str">
        <f>IFERROR(VLOOKUP(C47&amp;#REF!,가락!B29:$E$498,3,FALSE),"")</f>
        <v/>
      </c>
      <c r="CD47" s="54" t="str">
        <f>IFERROR(VLOOKUP(C47&amp;#REF!,가락!B29:$E$498,4,FALSE),"")</f>
        <v/>
      </c>
    </row>
    <row r="48" spans="1:82" ht="35.1" customHeight="1">
      <c r="A48" s="34">
        <v>26</v>
      </c>
      <c r="B48" s="175"/>
      <c r="C48" s="84"/>
      <c r="D48" s="84"/>
      <c r="E48" s="82"/>
      <c r="F48" s="82"/>
      <c r="G48" s="82"/>
      <c r="H48" s="128"/>
      <c r="I48" s="121"/>
      <c r="J48" s="86"/>
      <c r="K48" s="130"/>
      <c r="L48" s="109"/>
      <c r="M48" s="109"/>
      <c r="N48" s="82"/>
      <c r="O48" s="82"/>
      <c r="P48" s="82"/>
      <c r="Q48" s="128"/>
      <c r="R48" s="121"/>
      <c r="S48" s="82"/>
      <c r="T48" s="82"/>
      <c r="U48" s="82"/>
      <c r="V48" s="128"/>
      <c r="W48" s="121"/>
      <c r="X48" s="82"/>
      <c r="Y48" s="82"/>
      <c r="Z48" s="82"/>
      <c r="AA48" s="128"/>
      <c r="AB48" s="121"/>
      <c r="AC48" s="82"/>
      <c r="AD48" s="82"/>
      <c r="AE48" s="82"/>
      <c r="AF48" s="128"/>
      <c r="AG48" s="121"/>
      <c r="AH48" s="82"/>
      <c r="AI48" s="82"/>
      <c r="AJ48" s="82"/>
      <c r="AK48" s="128"/>
      <c r="AL48" s="121"/>
      <c r="AM48" s="82"/>
      <c r="AN48" s="82"/>
      <c r="AO48" s="82"/>
      <c r="AP48" s="121"/>
      <c r="AQ48" s="128"/>
      <c r="AR48" s="121"/>
      <c r="AS48" s="82"/>
      <c r="AT48" s="82"/>
      <c r="AU48" s="82"/>
      <c r="AV48" s="128"/>
      <c r="AW48" s="121"/>
      <c r="AX48" s="82"/>
      <c r="AY48" s="82"/>
      <c r="AZ48" s="82"/>
      <c r="BA48" s="128"/>
      <c r="BB48" s="121"/>
      <c r="BC48" s="82"/>
      <c r="BD48" s="82"/>
      <c r="BE48" s="82"/>
      <c r="BF48" s="128"/>
      <c r="BG48" s="121"/>
      <c r="BH48" s="82"/>
      <c r="BI48" s="82"/>
      <c r="BJ48" s="82"/>
      <c r="BK48" s="128"/>
      <c r="BL48" s="121"/>
      <c r="BM48" s="82"/>
      <c r="BN48" s="82"/>
      <c r="BO48" s="82"/>
      <c r="BP48" s="128"/>
      <c r="BQ48" s="121"/>
      <c r="BR48" s="82"/>
      <c r="BS48" s="212">
        <f t="shared" si="51"/>
        <v>0</v>
      </c>
      <c r="BT48" s="111"/>
      <c r="BU48" s="91">
        <f t="shared" si="52"/>
        <v>0</v>
      </c>
      <c r="BV48" s="50" t="e">
        <f>SUM(#REF!)</f>
        <v>#REF!</v>
      </c>
      <c r="BW48" s="51" t="e">
        <f>SUM(#REF!)</f>
        <v>#REF!</v>
      </c>
      <c r="BX48" s="52" t="e">
        <f>SUM(#REF!)</f>
        <v>#REF!</v>
      </c>
      <c r="BY48" s="53" t="e">
        <f>SUM(#REF!)</f>
        <v>#REF!</v>
      </c>
      <c r="BZ48" s="53" t="e">
        <f>SUM(#REF!)</f>
        <v>#REF!</v>
      </c>
      <c r="CA48" s="52">
        <f t="shared" si="53"/>
        <v>0</v>
      </c>
      <c r="CB48" s="54" t="str">
        <f>IFERROR(VLOOKUP(#REF!&amp;D48,가락!$B$2:$E$498,2,FALSE),"")</f>
        <v/>
      </c>
      <c r="CC48" s="54" t="str">
        <f>IFERROR(VLOOKUP(#REF!&amp;D48,가락!B30:$E$498,3,FALSE),"")</f>
        <v/>
      </c>
      <c r="CD48" s="54" t="str">
        <f>IFERROR(VLOOKUP(#REF!&amp;D48,가락!B30:$E$498,4,FALSE),"")</f>
        <v/>
      </c>
    </row>
    <row r="49" spans="1:82" ht="35.1" customHeight="1">
      <c r="A49" s="34">
        <v>27</v>
      </c>
      <c r="B49" s="175"/>
      <c r="C49" s="84"/>
      <c r="D49" s="84"/>
      <c r="E49" s="82"/>
      <c r="F49" s="82"/>
      <c r="G49" s="82"/>
      <c r="H49" s="128"/>
      <c r="I49" s="121"/>
      <c r="J49" s="86"/>
      <c r="K49" s="130"/>
      <c r="L49" s="109"/>
      <c r="M49" s="109"/>
      <c r="N49" s="82"/>
      <c r="O49" s="82"/>
      <c r="P49" s="82"/>
      <c r="Q49" s="128"/>
      <c r="R49" s="121"/>
      <c r="S49" s="82"/>
      <c r="T49" s="82"/>
      <c r="U49" s="82"/>
      <c r="V49" s="128"/>
      <c r="W49" s="121"/>
      <c r="X49" s="82"/>
      <c r="Y49" s="82"/>
      <c r="Z49" s="82"/>
      <c r="AA49" s="128"/>
      <c r="AB49" s="121"/>
      <c r="AC49" s="82"/>
      <c r="AD49" s="82"/>
      <c r="AE49" s="82"/>
      <c r="AF49" s="128"/>
      <c r="AG49" s="121"/>
      <c r="AH49" s="82"/>
      <c r="AI49" s="82"/>
      <c r="AJ49" s="82"/>
      <c r="AK49" s="128"/>
      <c r="AL49" s="121"/>
      <c r="AM49" s="82"/>
      <c r="AN49" s="82"/>
      <c r="AO49" s="82"/>
      <c r="AP49" s="121"/>
      <c r="AQ49" s="128"/>
      <c r="AR49" s="121"/>
      <c r="AS49" s="82"/>
      <c r="AT49" s="82"/>
      <c r="AU49" s="82"/>
      <c r="AV49" s="128"/>
      <c r="AW49" s="121"/>
      <c r="AX49" s="82"/>
      <c r="AY49" s="82"/>
      <c r="AZ49" s="82"/>
      <c r="BA49" s="128"/>
      <c r="BB49" s="121"/>
      <c r="BC49" s="82"/>
      <c r="BD49" s="82"/>
      <c r="BE49" s="82"/>
      <c r="BF49" s="128"/>
      <c r="BG49" s="121"/>
      <c r="BH49" s="82"/>
      <c r="BI49" s="82"/>
      <c r="BJ49" s="82"/>
      <c r="BK49" s="128"/>
      <c r="BL49" s="121"/>
      <c r="BM49" s="82"/>
      <c r="BN49" s="82"/>
      <c r="BO49" s="82"/>
      <c r="BP49" s="128"/>
      <c r="BQ49" s="121"/>
      <c r="BR49" s="82"/>
      <c r="BS49" s="212">
        <f t="shared" si="51"/>
        <v>0</v>
      </c>
      <c r="BT49" s="111"/>
      <c r="BU49" s="91">
        <f t="shared" si="52"/>
        <v>0</v>
      </c>
      <c r="BV49" s="50" t="e">
        <f>SUM(#REF!)</f>
        <v>#REF!</v>
      </c>
      <c r="BW49" s="51" t="e">
        <f>SUM(#REF!)</f>
        <v>#REF!</v>
      </c>
      <c r="BX49" s="52" t="e">
        <f>SUM(#REF!)</f>
        <v>#REF!</v>
      </c>
      <c r="BY49" s="53" t="e">
        <f>SUM(#REF!)</f>
        <v>#REF!</v>
      </c>
      <c r="BZ49" s="53" t="e">
        <f>SUM(#REF!)</f>
        <v>#REF!</v>
      </c>
      <c r="CA49" s="52">
        <f t="shared" si="53"/>
        <v>0</v>
      </c>
      <c r="CB49" s="54" t="str">
        <f>IFERROR(VLOOKUP(C49&amp;D49,가락!$B$2:$E$498,2,FALSE),"")</f>
        <v/>
      </c>
      <c r="CC49" s="54" t="str">
        <f>IFERROR(VLOOKUP(C49&amp;D49,가락!B31:$E$498,3,FALSE),"")</f>
        <v/>
      </c>
      <c r="CD49" s="54" t="str">
        <f>IFERROR(VLOOKUP(C49&amp;D49,가락!B31:$E$498,4,FALSE),"")</f>
        <v/>
      </c>
    </row>
    <row r="50" spans="1:82" ht="35.1" customHeight="1">
      <c r="A50" s="34">
        <v>28</v>
      </c>
      <c r="B50" s="175"/>
      <c r="C50" s="182"/>
      <c r="D50" s="182"/>
      <c r="E50" s="82"/>
      <c r="F50" s="82"/>
      <c r="G50" s="82"/>
      <c r="H50" s="128"/>
      <c r="I50" s="121"/>
      <c r="J50" s="86"/>
      <c r="K50" s="130"/>
      <c r="L50" s="109"/>
      <c r="M50" s="109"/>
      <c r="N50" s="82"/>
      <c r="O50" s="82"/>
      <c r="P50" s="82"/>
      <c r="Q50" s="128"/>
      <c r="R50" s="121"/>
      <c r="S50" s="82"/>
      <c r="T50" s="82"/>
      <c r="U50" s="82"/>
      <c r="V50" s="128"/>
      <c r="W50" s="121"/>
      <c r="X50" s="82"/>
      <c r="Y50" s="82"/>
      <c r="Z50" s="82"/>
      <c r="AA50" s="128"/>
      <c r="AB50" s="121"/>
      <c r="AC50" s="82"/>
      <c r="AD50" s="82"/>
      <c r="AE50" s="82"/>
      <c r="AF50" s="128"/>
      <c r="AG50" s="121"/>
      <c r="AH50" s="82"/>
      <c r="AI50" s="82"/>
      <c r="AJ50" s="82"/>
      <c r="AK50" s="128"/>
      <c r="AL50" s="121"/>
      <c r="AM50" s="82"/>
      <c r="AN50" s="82"/>
      <c r="AO50" s="82"/>
      <c r="AP50" s="121"/>
      <c r="AQ50" s="128"/>
      <c r="AR50" s="121"/>
      <c r="AS50" s="82"/>
      <c r="AT50" s="82"/>
      <c r="AU50" s="82"/>
      <c r="AV50" s="128"/>
      <c r="AW50" s="121"/>
      <c r="AX50" s="82"/>
      <c r="AY50" s="82"/>
      <c r="AZ50" s="82"/>
      <c r="BA50" s="128"/>
      <c r="BB50" s="121"/>
      <c r="BC50" s="82"/>
      <c r="BD50" s="82"/>
      <c r="BE50" s="82"/>
      <c r="BF50" s="128"/>
      <c r="BG50" s="121"/>
      <c r="BH50" s="82"/>
      <c r="BI50" s="82"/>
      <c r="BJ50" s="82"/>
      <c r="BK50" s="128"/>
      <c r="BL50" s="121"/>
      <c r="BM50" s="82"/>
      <c r="BN50" s="82"/>
      <c r="BO50" s="82"/>
      <c r="BP50" s="128"/>
      <c r="BQ50" s="121"/>
      <c r="BR50" s="82"/>
      <c r="BS50" s="212">
        <f t="shared" si="51"/>
        <v>0</v>
      </c>
      <c r="BT50" s="111"/>
      <c r="BU50" s="91">
        <f t="shared" si="52"/>
        <v>0</v>
      </c>
      <c r="BV50" s="52" t="e">
        <f>SUM(#REF!)</f>
        <v>#REF!</v>
      </c>
      <c r="BW50" s="51" t="e">
        <f>SUM(#REF!)</f>
        <v>#REF!</v>
      </c>
      <c r="BX50" s="52" t="e">
        <f>SUM(#REF!)</f>
        <v>#REF!</v>
      </c>
      <c r="BY50" s="53" t="e">
        <f>SUM(#REF!)</f>
        <v>#REF!</v>
      </c>
      <c r="BZ50" s="53" t="e">
        <f>SUM(#REF!)</f>
        <v>#REF!</v>
      </c>
      <c r="CA50" s="52">
        <f t="shared" si="53"/>
        <v>0</v>
      </c>
      <c r="CB50" s="54" t="str">
        <f>IFERROR(VLOOKUP(C50&amp;D50,가락!$B$2:$E$498,2,FALSE),"")</f>
        <v/>
      </c>
      <c r="CC50" s="54" t="str">
        <f>IFERROR(VLOOKUP(C50&amp;D50,가락!B32:$E$498,3,FALSE),"")</f>
        <v/>
      </c>
      <c r="CD50" s="54" t="str">
        <f>IFERROR(VLOOKUP(C50&amp;D50,가락!B32:$E$498,4,FALSE),"")</f>
        <v/>
      </c>
    </row>
    <row r="51" spans="1:82" ht="35.1" customHeight="1">
      <c r="A51" s="34">
        <v>29</v>
      </c>
      <c r="B51" s="175"/>
      <c r="C51" s="84"/>
      <c r="D51" s="85"/>
      <c r="E51" s="82"/>
      <c r="F51" s="82"/>
      <c r="G51" s="82"/>
      <c r="H51" s="128"/>
      <c r="I51" s="121"/>
      <c r="J51" s="86"/>
      <c r="K51" s="130"/>
      <c r="L51" s="109"/>
      <c r="M51" s="109"/>
      <c r="N51" s="82"/>
      <c r="O51" s="82"/>
      <c r="P51" s="82"/>
      <c r="Q51" s="128"/>
      <c r="R51" s="121"/>
      <c r="S51" s="82"/>
      <c r="T51" s="82"/>
      <c r="U51" s="82"/>
      <c r="V51" s="128"/>
      <c r="W51" s="121"/>
      <c r="X51" s="82"/>
      <c r="Y51" s="82"/>
      <c r="Z51" s="82"/>
      <c r="AA51" s="128"/>
      <c r="AB51" s="121"/>
      <c r="AC51" s="82"/>
      <c r="AD51" s="82"/>
      <c r="AE51" s="82"/>
      <c r="AF51" s="128"/>
      <c r="AG51" s="121"/>
      <c r="AH51" s="82"/>
      <c r="AI51" s="82"/>
      <c r="AJ51" s="82"/>
      <c r="AK51" s="128"/>
      <c r="AL51" s="121"/>
      <c r="AM51" s="82"/>
      <c r="AN51" s="82"/>
      <c r="AO51" s="82"/>
      <c r="AP51" s="121"/>
      <c r="AQ51" s="128"/>
      <c r="AR51" s="121"/>
      <c r="AS51" s="82"/>
      <c r="AT51" s="82"/>
      <c r="AU51" s="82"/>
      <c r="AV51" s="128"/>
      <c r="AW51" s="121"/>
      <c r="AX51" s="82"/>
      <c r="AY51" s="82"/>
      <c r="AZ51" s="82"/>
      <c r="BA51" s="128"/>
      <c r="BB51" s="121"/>
      <c r="BC51" s="82"/>
      <c r="BD51" s="82"/>
      <c r="BE51" s="82"/>
      <c r="BF51" s="128"/>
      <c r="BG51" s="121"/>
      <c r="BH51" s="82"/>
      <c r="BI51" s="82"/>
      <c r="BJ51" s="82"/>
      <c r="BK51" s="128"/>
      <c r="BL51" s="121"/>
      <c r="BM51" s="82"/>
      <c r="BN51" s="82"/>
      <c r="BO51" s="82"/>
      <c r="BP51" s="128"/>
      <c r="BQ51" s="121"/>
      <c r="BR51" s="82"/>
      <c r="BS51" s="212">
        <f t="shared" si="51"/>
        <v>0</v>
      </c>
      <c r="BT51" s="111"/>
      <c r="BU51" s="91">
        <f t="shared" si="52"/>
        <v>0</v>
      </c>
      <c r="BV51" s="52" t="e">
        <f>SUM(#REF!)</f>
        <v>#REF!</v>
      </c>
      <c r="BW51" s="51" t="e">
        <f>SUM(#REF!)</f>
        <v>#REF!</v>
      </c>
      <c r="BX51" s="52" t="e">
        <f>SUM(#REF!)</f>
        <v>#REF!</v>
      </c>
      <c r="BY51" s="53" t="e">
        <f>SUM(#REF!)</f>
        <v>#REF!</v>
      </c>
      <c r="BZ51" s="53" t="e">
        <f>SUM(#REF!)</f>
        <v>#REF!</v>
      </c>
      <c r="CA51" s="52">
        <f t="shared" si="53"/>
        <v>0</v>
      </c>
      <c r="CB51" s="54" t="str">
        <f>IFERROR(VLOOKUP(C51&amp;D51,가락!$B$2:$E$498,2,FALSE),"")</f>
        <v/>
      </c>
      <c r="CC51" s="54" t="str">
        <f>IFERROR(VLOOKUP(C51&amp;D51,가락!B33:$E$498,3,FALSE),"")</f>
        <v/>
      </c>
      <c r="CD51" s="54" t="str">
        <f>IFERROR(VLOOKUP(C51&amp;D51,가락!B33:$E$498,4,FALSE),"")</f>
        <v/>
      </c>
    </row>
    <row r="52" spans="1:82" ht="35.1" customHeight="1">
      <c r="A52" s="34">
        <v>30</v>
      </c>
      <c r="B52" s="175"/>
      <c r="C52" s="84"/>
      <c r="D52" s="84"/>
      <c r="E52" s="82"/>
      <c r="F52" s="82"/>
      <c r="G52" s="82"/>
      <c r="H52" s="128"/>
      <c r="I52" s="121"/>
      <c r="J52" s="86"/>
      <c r="K52" s="130"/>
      <c r="L52" s="109"/>
      <c r="M52" s="109"/>
      <c r="N52" s="82"/>
      <c r="O52" s="82"/>
      <c r="P52" s="82"/>
      <c r="Q52" s="128"/>
      <c r="R52" s="121"/>
      <c r="S52" s="82"/>
      <c r="T52" s="82"/>
      <c r="U52" s="82"/>
      <c r="V52" s="128"/>
      <c r="W52" s="121"/>
      <c r="X52" s="82"/>
      <c r="Y52" s="82"/>
      <c r="Z52" s="82"/>
      <c r="AA52" s="128"/>
      <c r="AB52" s="121"/>
      <c r="AC52" s="82"/>
      <c r="AD52" s="82"/>
      <c r="AE52" s="82"/>
      <c r="AF52" s="128"/>
      <c r="AG52" s="121"/>
      <c r="AH52" s="82"/>
      <c r="AI52" s="82"/>
      <c r="AJ52" s="82"/>
      <c r="AK52" s="128"/>
      <c r="AL52" s="121"/>
      <c r="AM52" s="82"/>
      <c r="AN52" s="82"/>
      <c r="AO52" s="82"/>
      <c r="AP52" s="121"/>
      <c r="AQ52" s="128"/>
      <c r="AR52" s="121"/>
      <c r="AS52" s="82"/>
      <c r="AT52" s="82"/>
      <c r="AU52" s="82"/>
      <c r="AV52" s="128"/>
      <c r="AW52" s="121"/>
      <c r="AX52" s="82"/>
      <c r="AY52" s="82"/>
      <c r="AZ52" s="82"/>
      <c r="BA52" s="128"/>
      <c r="BB52" s="121"/>
      <c r="BC52" s="82"/>
      <c r="BD52" s="82"/>
      <c r="BE52" s="82"/>
      <c r="BF52" s="128"/>
      <c r="BG52" s="121"/>
      <c r="BH52" s="82"/>
      <c r="BI52" s="82"/>
      <c r="BJ52" s="82"/>
      <c r="BK52" s="128"/>
      <c r="BL52" s="121"/>
      <c r="BM52" s="82"/>
      <c r="BN52" s="82"/>
      <c r="BO52" s="82"/>
      <c r="BP52" s="128"/>
      <c r="BQ52" s="121"/>
      <c r="BR52" s="82"/>
      <c r="BS52" s="212">
        <f t="shared" si="51"/>
        <v>0</v>
      </c>
      <c r="BT52" s="111"/>
      <c r="BU52" s="91">
        <f t="shared" si="52"/>
        <v>0</v>
      </c>
      <c r="BV52" s="52" t="e">
        <f>SUM(#REF!)</f>
        <v>#REF!</v>
      </c>
      <c r="BW52" s="51" t="e">
        <f>SUM(#REF!)</f>
        <v>#REF!</v>
      </c>
      <c r="BX52" s="52" t="e">
        <f>SUM(#REF!)</f>
        <v>#REF!</v>
      </c>
      <c r="BY52" s="53" t="e">
        <f>SUM(#REF!)</f>
        <v>#REF!</v>
      </c>
      <c r="BZ52" s="53" t="e">
        <f>SUM(#REF!)</f>
        <v>#REF!</v>
      </c>
      <c r="CA52" s="52">
        <f t="shared" si="53"/>
        <v>0</v>
      </c>
      <c r="CB52" s="54" t="str">
        <f>IFERROR(VLOOKUP(C52&amp;D52,가락!$B$2:$E$498,2,FALSE),"")</f>
        <v/>
      </c>
      <c r="CC52" s="54" t="str">
        <f>IFERROR(VLOOKUP(C52&amp;D52,가락!B34:$E$498,3,FALSE),"")</f>
        <v/>
      </c>
      <c r="CD52" s="54" t="str">
        <f>IFERROR(VLOOKUP(C52&amp;D52,가락!B34:$E$498,4,FALSE),"")</f>
        <v/>
      </c>
    </row>
    <row r="53" spans="1:82" ht="35.1" customHeight="1">
      <c r="B53" s="175"/>
      <c r="C53" s="84"/>
      <c r="D53" s="84"/>
      <c r="E53" s="82"/>
      <c r="F53" s="82"/>
      <c r="G53" s="82"/>
      <c r="H53" s="128"/>
      <c r="I53" s="121"/>
      <c r="J53" s="86"/>
      <c r="K53" s="130"/>
      <c r="L53" s="109"/>
      <c r="M53" s="109"/>
      <c r="N53" s="82"/>
      <c r="O53" s="82"/>
      <c r="P53" s="82"/>
      <c r="Q53" s="128"/>
      <c r="R53" s="121"/>
      <c r="S53" s="82"/>
      <c r="T53" s="82"/>
      <c r="U53" s="82"/>
      <c r="V53" s="128"/>
      <c r="W53" s="121"/>
      <c r="X53" s="82"/>
      <c r="Y53" s="82"/>
      <c r="Z53" s="82"/>
      <c r="AA53" s="128"/>
      <c r="AB53" s="121"/>
      <c r="AC53" s="82"/>
      <c r="AD53" s="82"/>
      <c r="AE53" s="82"/>
      <c r="AF53" s="128"/>
      <c r="AG53" s="121"/>
      <c r="AH53" s="82"/>
      <c r="AI53" s="82"/>
      <c r="AJ53" s="82"/>
      <c r="AK53" s="128"/>
      <c r="AL53" s="121"/>
      <c r="AM53" s="82"/>
      <c r="AN53" s="82"/>
      <c r="AO53" s="82"/>
      <c r="AP53" s="121"/>
      <c r="AQ53" s="128"/>
      <c r="AR53" s="121"/>
      <c r="AS53" s="82"/>
      <c r="AT53" s="82"/>
      <c r="AU53" s="82"/>
      <c r="AV53" s="128"/>
      <c r="AW53" s="121"/>
      <c r="AX53" s="82"/>
      <c r="AY53" s="82"/>
      <c r="AZ53" s="82"/>
      <c r="BA53" s="128"/>
      <c r="BB53" s="121"/>
      <c r="BC53" s="82"/>
      <c r="BD53" s="82"/>
      <c r="BE53" s="82"/>
      <c r="BF53" s="128"/>
      <c r="BG53" s="121"/>
      <c r="BH53" s="82"/>
      <c r="BI53" s="82"/>
      <c r="BJ53" s="82"/>
      <c r="BK53" s="128"/>
      <c r="BL53" s="121"/>
      <c r="BM53" s="82"/>
      <c r="BN53" s="82"/>
      <c r="BO53" s="82"/>
      <c r="BP53" s="128"/>
      <c r="BQ53" s="121"/>
      <c r="BR53" s="82"/>
      <c r="BS53" s="212">
        <f t="shared" si="51"/>
        <v>0</v>
      </c>
      <c r="BT53" s="111"/>
      <c r="BU53" s="91"/>
      <c r="BV53" s="52"/>
      <c r="BW53" s="51"/>
      <c r="BX53" s="52"/>
      <c r="BY53" s="53"/>
      <c r="BZ53" s="53"/>
      <c r="CA53" s="52"/>
      <c r="CB53" s="56"/>
      <c r="CC53" s="56"/>
      <c r="CD53" s="56"/>
    </row>
    <row r="54" spans="1:82" ht="35.1" customHeight="1">
      <c r="A54" s="34">
        <v>31</v>
      </c>
      <c r="B54" s="175"/>
      <c r="C54" s="84"/>
      <c r="D54" s="84"/>
      <c r="E54" s="82"/>
      <c r="F54" s="82"/>
      <c r="G54" s="82"/>
      <c r="H54" s="128"/>
      <c r="I54" s="121"/>
      <c r="J54" s="86"/>
      <c r="K54" s="130"/>
      <c r="L54" s="109"/>
      <c r="M54" s="109"/>
      <c r="N54" s="82"/>
      <c r="O54" s="82"/>
      <c r="P54" s="82"/>
      <c r="Q54" s="128"/>
      <c r="R54" s="121"/>
      <c r="S54" s="82"/>
      <c r="T54" s="82"/>
      <c r="U54" s="82"/>
      <c r="V54" s="128"/>
      <c r="W54" s="121"/>
      <c r="X54" s="82"/>
      <c r="Y54" s="82"/>
      <c r="Z54" s="82"/>
      <c r="AA54" s="128"/>
      <c r="AB54" s="121"/>
      <c r="AC54" s="82"/>
      <c r="AD54" s="82"/>
      <c r="AE54" s="82"/>
      <c r="AF54" s="128"/>
      <c r="AG54" s="121"/>
      <c r="AH54" s="82"/>
      <c r="AI54" s="82"/>
      <c r="AJ54" s="82"/>
      <c r="AK54" s="128"/>
      <c r="AL54" s="121"/>
      <c r="AM54" s="82"/>
      <c r="AN54" s="82"/>
      <c r="AO54" s="82"/>
      <c r="AP54" s="121"/>
      <c r="AQ54" s="128"/>
      <c r="AR54" s="121"/>
      <c r="AS54" s="82"/>
      <c r="AT54" s="82"/>
      <c r="AU54" s="82"/>
      <c r="AV54" s="128"/>
      <c r="AW54" s="121"/>
      <c r="AX54" s="82"/>
      <c r="AY54" s="82"/>
      <c r="AZ54" s="82"/>
      <c r="BA54" s="128"/>
      <c r="BB54" s="121"/>
      <c r="BC54" s="82"/>
      <c r="BD54" s="82"/>
      <c r="BE54" s="82"/>
      <c r="BF54" s="128"/>
      <c r="BG54" s="121"/>
      <c r="BH54" s="82"/>
      <c r="BI54" s="82"/>
      <c r="BJ54" s="82"/>
      <c r="BK54" s="128"/>
      <c r="BL54" s="121"/>
      <c r="BM54" s="82"/>
      <c r="BN54" s="82"/>
      <c r="BO54" s="82"/>
      <c r="BP54" s="128"/>
      <c r="BQ54" s="121"/>
      <c r="BR54" s="82"/>
      <c r="BS54" s="212">
        <f t="shared" si="51"/>
        <v>0</v>
      </c>
      <c r="BT54" s="111"/>
      <c r="BU54" s="91">
        <f>SUM(E54:H54)</f>
        <v>0</v>
      </c>
      <c r="BV54" s="52" t="e">
        <f>SUM(#REF!)</f>
        <v>#REF!</v>
      </c>
      <c r="BW54" s="51" t="e">
        <f>SUM(#REF!)</f>
        <v>#REF!</v>
      </c>
      <c r="BX54" s="52" t="e">
        <f>SUM(#REF!)</f>
        <v>#REF!</v>
      </c>
      <c r="BY54" s="53" t="e">
        <f>SUM(#REF!)</f>
        <v>#REF!</v>
      </c>
      <c r="BZ54" s="53" t="e">
        <f>SUM(#REF!)</f>
        <v>#REF!</v>
      </c>
      <c r="CA54" s="52">
        <f>SUM(BR54:BR54)</f>
        <v>0</v>
      </c>
      <c r="CB54" s="56" t="str">
        <f>IFERROR(VLOOKUP(C54&amp;#REF!,가락!$B$2:$E$498,2,FALSE),"")</f>
        <v/>
      </c>
      <c r="CC54" s="56" t="str">
        <f>IFERROR(VLOOKUP(C54&amp;#REF!,가락!B35:$E$498,3,FALSE),"")</f>
        <v/>
      </c>
      <c r="CD54" s="56" t="str">
        <f>IFERROR(VLOOKUP(C54&amp;#REF!,가락!B35:$E$498,4,FALSE),"")</f>
        <v/>
      </c>
    </row>
    <row r="55" spans="1:82" ht="35.1" customHeight="1">
      <c r="B55" s="188"/>
      <c r="C55" s="84"/>
      <c r="D55" s="84"/>
      <c r="E55" s="82"/>
      <c r="F55" s="82"/>
      <c r="G55" s="82"/>
      <c r="H55" s="128"/>
      <c r="I55" s="109"/>
      <c r="J55" s="86"/>
      <c r="K55" s="130"/>
      <c r="L55" s="109"/>
      <c r="M55" s="109"/>
      <c r="N55" s="86"/>
      <c r="O55" s="86"/>
      <c r="P55" s="86"/>
      <c r="Q55" s="130"/>
      <c r="R55" s="109"/>
      <c r="S55" s="86"/>
      <c r="T55" s="86"/>
      <c r="U55" s="86"/>
      <c r="V55" s="130"/>
      <c r="W55" s="109"/>
      <c r="X55" s="86"/>
      <c r="Y55" s="86"/>
      <c r="Z55" s="86"/>
      <c r="AA55" s="130"/>
      <c r="AB55" s="109"/>
      <c r="AC55" s="86"/>
      <c r="AD55" s="86"/>
      <c r="AE55" s="86"/>
      <c r="AF55" s="130"/>
      <c r="AG55" s="109"/>
      <c r="AH55" s="86"/>
      <c r="AI55" s="86"/>
      <c r="AJ55" s="86"/>
      <c r="AK55" s="130"/>
      <c r="AL55" s="109"/>
      <c r="AM55" s="86"/>
      <c r="AN55" s="86"/>
      <c r="AO55" s="86"/>
      <c r="AP55" s="109"/>
      <c r="AQ55" s="130"/>
      <c r="AR55" s="109"/>
      <c r="AS55" s="86"/>
      <c r="AT55" s="86"/>
      <c r="AU55" s="86"/>
      <c r="AV55" s="130"/>
      <c r="AW55" s="109"/>
      <c r="AX55" s="86"/>
      <c r="AY55" s="86"/>
      <c r="AZ55" s="86"/>
      <c r="BA55" s="130"/>
      <c r="BB55" s="109"/>
      <c r="BC55" s="86"/>
      <c r="BD55" s="86"/>
      <c r="BE55" s="86"/>
      <c r="BF55" s="130"/>
      <c r="BG55" s="109"/>
      <c r="BH55" s="86"/>
      <c r="BI55" s="86"/>
      <c r="BJ55" s="86"/>
      <c r="BK55" s="130"/>
      <c r="BL55" s="109"/>
      <c r="BM55" s="86"/>
      <c r="BN55" s="86"/>
      <c r="BO55" s="86"/>
      <c r="BP55" s="130"/>
      <c r="BQ55" s="109"/>
      <c r="BR55" s="86"/>
      <c r="BS55" s="158">
        <f>SUM(E55:BR55)</f>
        <v>0</v>
      </c>
      <c r="BT55" s="111"/>
      <c r="BU55" s="91"/>
      <c r="BV55" s="52"/>
      <c r="BW55" s="51"/>
      <c r="BX55" s="52"/>
      <c r="BY55" s="53"/>
      <c r="BZ55" s="53"/>
      <c r="CA55" s="52"/>
      <c r="CB55" s="81"/>
      <c r="CC55" s="81"/>
      <c r="CD55" s="81"/>
    </row>
    <row r="56" spans="1:82" ht="35.1" customHeight="1">
      <c r="B56" s="188"/>
      <c r="C56" s="84"/>
      <c r="D56" s="84"/>
      <c r="E56" s="82"/>
      <c r="F56" s="82"/>
      <c r="G56" s="82"/>
      <c r="H56" s="128"/>
      <c r="I56" s="109"/>
      <c r="J56" s="86"/>
      <c r="K56" s="130"/>
      <c r="L56" s="109"/>
      <c r="M56" s="109"/>
      <c r="N56" s="86"/>
      <c r="O56" s="86"/>
      <c r="P56" s="86"/>
      <c r="Q56" s="130"/>
      <c r="R56" s="109"/>
      <c r="S56" s="86"/>
      <c r="T56" s="86"/>
      <c r="U56" s="86"/>
      <c r="V56" s="130"/>
      <c r="W56" s="109"/>
      <c r="X56" s="86"/>
      <c r="Y56" s="86"/>
      <c r="Z56" s="86"/>
      <c r="AA56" s="130"/>
      <c r="AB56" s="109"/>
      <c r="AC56" s="86"/>
      <c r="AD56" s="86"/>
      <c r="AE56" s="86"/>
      <c r="AF56" s="130"/>
      <c r="AG56" s="109"/>
      <c r="AH56" s="86"/>
      <c r="AI56" s="86"/>
      <c r="AJ56" s="86"/>
      <c r="AK56" s="130"/>
      <c r="AL56" s="109"/>
      <c r="AM56" s="86"/>
      <c r="AN56" s="86"/>
      <c r="AO56" s="86"/>
      <c r="AP56" s="109"/>
      <c r="AQ56" s="130"/>
      <c r="AR56" s="109"/>
      <c r="AS56" s="86"/>
      <c r="AT56" s="86"/>
      <c r="AU56" s="86"/>
      <c r="AV56" s="130"/>
      <c r="AW56" s="109"/>
      <c r="AX56" s="86"/>
      <c r="AY56" s="86"/>
      <c r="AZ56" s="86"/>
      <c r="BA56" s="130"/>
      <c r="BB56" s="109"/>
      <c r="BC56" s="86"/>
      <c r="BD56" s="86"/>
      <c r="BE56" s="86"/>
      <c r="BF56" s="130"/>
      <c r="BG56" s="109"/>
      <c r="BH56" s="86"/>
      <c r="BI56" s="86"/>
      <c r="BJ56" s="86"/>
      <c r="BK56" s="130"/>
      <c r="BL56" s="109"/>
      <c r="BM56" s="86"/>
      <c r="BN56" s="86"/>
      <c r="BO56" s="86"/>
      <c r="BP56" s="130"/>
      <c r="BQ56" s="109"/>
      <c r="BR56" s="86"/>
      <c r="BS56" s="158">
        <f>SUM(E56:BR56)</f>
        <v>0</v>
      </c>
      <c r="BT56" s="111"/>
      <c r="BU56" s="91"/>
      <c r="BV56" s="52"/>
      <c r="BW56" s="51"/>
      <c r="BX56" s="52"/>
      <c r="BY56" s="53"/>
      <c r="BZ56" s="53"/>
      <c r="CA56" s="52"/>
      <c r="CB56" s="81"/>
      <c r="CC56" s="81"/>
      <c r="CD56" s="81"/>
    </row>
    <row r="57" spans="1:82" ht="35.1" customHeight="1">
      <c r="B57" s="188"/>
      <c r="C57" s="148"/>
      <c r="D57" s="148"/>
      <c r="E57" s="116"/>
      <c r="F57" s="116"/>
      <c r="G57" s="116"/>
      <c r="H57" s="149"/>
      <c r="I57" s="150"/>
      <c r="J57" s="183"/>
      <c r="K57" s="206"/>
      <c r="L57" s="184"/>
      <c r="M57" s="184"/>
      <c r="N57" s="116"/>
      <c r="O57" s="116"/>
      <c r="P57" s="116"/>
      <c r="Q57" s="149"/>
      <c r="R57" s="150"/>
      <c r="S57" s="116"/>
      <c r="T57" s="116"/>
      <c r="U57" s="116"/>
      <c r="V57" s="149"/>
      <c r="W57" s="150"/>
      <c r="X57" s="116"/>
      <c r="Y57" s="116"/>
      <c r="Z57" s="116"/>
      <c r="AA57" s="149"/>
      <c r="AB57" s="150"/>
      <c r="AC57" s="116"/>
      <c r="AD57" s="116"/>
      <c r="AE57" s="116"/>
      <c r="AF57" s="149"/>
      <c r="AG57" s="150"/>
      <c r="AH57" s="116"/>
      <c r="AI57" s="116"/>
      <c r="AJ57" s="116"/>
      <c r="AK57" s="149"/>
      <c r="AL57" s="150"/>
      <c r="AM57" s="116"/>
      <c r="AN57" s="116"/>
      <c r="AO57" s="116"/>
      <c r="AP57" s="150"/>
      <c r="AQ57" s="149"/>
      <c r="AR57" s="150"/>
      <c r="AS57" s="116"/>
      <c r="AT57" s="116"/>
      <c r="AU57" s="116"/>
      <c r="AV57" s="149"/>
      <c r="AW57" s="150"/>
      <c r="AX57" s="116"/>
      <c r="AY57" s="116"/>
      <c r="AZ57" s="116"/>
      <c r="BA57" s="149"/>
      <c r="BB57" s="150"/>
      <c r="BC57" s="116"/>
      <c r="BD57" s="116"/>
      <c r="BE57" s="116"/>
      <c r="BF57" s="149"/>
      <c r="BG57" s="150"/>
      <c r="BH57" s="116"/>
      <c r="BI57" s="116"/>
      <c r="BJ57" s="116"/>
      <c r="BK57" s="149"/>
      <c r="BL57" s="150"/>
      <c r="BM57" s="116"/>
      <c r="BN57" s="116"/>
      <c r="BO57" s="116"/>
      <c r="BP57" s="149"/>
      <c r="BQ57" s="150"/>
      <c r="BR57" s="116"/>
      <c r="BS57" s="158">
        <f>SUM(E57:BR57)</f>
        <v>0</v>
      </c>
      <c r="BT57" s="151"/>
      <c r="BU57" s="91"/>
      <c r="BV57" s="52"/>
      <c r="BW57" s="51"/>
      <c r="BX57" s="52"/>
      <c r="BY57" s="53"/>
      <c r="BZ57" s="53"/>
      <c r="CA57" s="52"/>
      <c r="CB57" s="81"/>
      <c r="CC57" s="81"/>
      <c r="CD57" s="81"/>
    </row>
    <row r="58" spans="1:82" ht="35.1" customHeight="1">
      <c r="B58" s="265"/>
      <c r="C58" s="266"/>
      <c r="D58" s="267"/>
      <c r="E58" s="145"/>
      <c r="F58" s="142"/>
      <c r="G58" s="142"/>
      <c r="H58" s="143"/>
      <c r="I58" s="144"/>
      <c r="J58" s="166"/>
      <c r="K58" s="207"/>
      <c r="L58" s="167"/>
      <c r="M58" s="167"/>
      <c r="N58" s="142"/>
      <c r="O58" s="142"/>
      <c r="P58" s="142"/>
      <c r="Q58" s="143"/>
      <c r="R58" s="144"/>
      <c r="S58" s="142"/>
      <c r="T58" s="142"/>
      <c r="U58" s="142"/>
      <c r="V58" s="143"/>
      <c r="W58" s="144"/>
      <c r="X58" s="142"/>
      <c r="Y58" s="142"/>
      <c r="Z58" s="142"/>
      <c r="AA58" s="143"/>
      <c r="AB58" s="144"/>
      <c r="AC58" s="142"/>
      <c r="AD58" s="142"/>
      <c r="AE58" s="142"/>
      <c r="AF58" s="143"/>
      <c r="AG58" s="144"/>
      <c r="AH58" s="142"/>
      <c r="AI58" s="142"/>
      <c r="AJ58" s="142"/>
      <c r="AK58" s="143"/>
      <c r="AL58" s="144"/>
      <c r="AM58" s="142"/>
      <c r="AN58" s="142"/>
      <c r="AO58" s="142"/>
      <c r="AP58" s="144"/>
      <c r="AQ58" s="143"/>
      <c r="AR58" s="144"/>
      <c r="AS58" s="142"/>
      <c r="AT58" s="142"/>
      <c r="AU58" s="142"/>
      <c r="AV58" s="143"/>
      <c r="AW58" s="144"/>
      <c r="AX58" s="142"/>
      <c r="AY58" s="142"/>
      <c r="AZ58" s="142"/>
      <c r="BA58" s="143"/>
      <c r="BB58" s="144"/>
      <c r="BC58" s="142"/>
      <c r="BD58" s="142"/>
      <c r="BE58" s="142"/>
      <c r="BF58" s="143"/>
      <c r="BG58" s="144"/>
      <c r="BH58" s="142"/>
      <c r="BI58" s="142"/>
      <c r="BJ58" s="142"/>
      <c r="BK58" s="143"/>
      <c r="BL58" s="144"/>
      <c r="BM58" s="142"/>
      <c r="BN58" s="142"/>
      <c r="BO58" s="142"/>
      <c r="BP58" s="143"/>
      <c r="BQ58" s="144"/>
      <c r="BR58" s="142">
        <f t="shared" ref="BR58" si="54">SUM(BR33:BR54)</f>
        <v>0</v>
      </c>
      <c r="BS58" s="146">
        <f t="shared" si="51"/>
        <v>0</v>
      </c>
      <c r="BT58" s="147"/>
      <c r="BU58" s="92"/>
      <c r="BV58" s="57"/>
      <c r="BW58" s="58"/>
      <c r="BX58" s="57"/>
      <c r="BY58" s="59"/>
      <c r="BZ58" s="59"/>
      <c r="CA58" s="57"/>
      <c r="CB58" s="57"/>
      <c r="CC58" s="57"/>
      <c r="CD58" s="57"/>
    </row>
    <row r="59" spans="1:82" ht="35.1" customHeight="1">
      <c r="B59" s="262" t="s">
        <v>63</v>
      </c>
      <c r="C59" s="263"/>
      <c r="D59" s="264"/>
      <c r="E59" s="155">
        <f>E30-E58</f>
        <v>0</v>
      </c>
      <c r="F59" s="152">
        <f>F30-F58</f>
        <v>0</v>
      </c>
      <c r="G59" s="152">
        <f>G30-G58</f>
        <v>0</v>
      </c>
      <c r="H59" s="153">
        <f>H30-H58</f>
        <v>0</v>
      </c>
      <c r="I59" s="154"/>
      <c r="J59" s="168"/>
      <c r="K59" s="208"/>
      <c r="L59" s="169"/>
      <c r="M59" s="169"/>
      <c r="N59" s="152"/>
      <c r="O59" s="152"/>
      <c r="P59" s="152"/>
      <c r="Q59" s="153"/>
      <c r="R59" s="154"/>
      <c r="S59" s="152"/>
      <c r="T59" s="152"/>
      <c r="U59" s="152"/>
      <c r="V59" s="153"/>
      <c r="W59" s="154"/>
      <c r="X59" s="152"/>
      <c r="Y59" s="152"/>
      <c r="Z59" s="152"/>
      <c r="AA59" s="153"/>
      <c r="AB59" s="154"/>
      <c r="AC59" s="152"/>
      <c r="AD59" s="152"/>
      <c r="AE59" s="152"/>
      <c r="AF59" s="153"/>
      <c r="AG59" s="154"/>
      <c r="AH59" s="152"/>
      <c r="AI59" s="152"/>
      <c r="AJ59" s="152"/>
      <c r="AK59" s="153"/>
      <c r="AL59" s="154"/>
      <c r="AM59" s="152"/>
      <c r="AN59" s="152"/>
      <c r="AO59" s="152"/>
      <c r="AP59" s="154"/>
      <c r="AQ59" s="153"/>
      <c r="AR59" s="154"/>
      <c r="AS59" s="152"/>
      <c r="AT59" s="152"/>
      <c r="AU59" s="152"/>
      <c r="AV59" s="153"/>
      <c r="AW59" s="154"/>
      <c r="AX59" s="152"/>
      <c r="AY59" s="152"/>
      <c r="AZ59" s="152"/>
      <c r="BA59" s="153"/>
      <c r="BB59" s="154"/>
      <c r="BC59" s="152"/>
      <c r="BD59" s="152"/>
      <c r="BE59" s="152"/>
      <c r="BF59" s="153"/>
      <c r="BG59" s="154"/>
      <c r="BH59" s="152"/>
      <c r="BI59" s="152"/>
      <c r="BJ59" s="152"/>
      <c r="BK59" s="153"/>
      <c r="BL59" s="154"/>
      <c r="BM59" s="152"/>
      <c r="BN59" s="152"/>
      <c r="BO59" s="152"/>
      <c r="BP59" s="153"/>
      <c r="BQ59" s="154"/>
      <c r="BR59" s="152">
        <f>BR30-BR58</f>
        <v>5</v>
      </c>
      <c r="BS59" s="156">
        <f t="shared" si="51"/>
        <v>5</v>
      </c>
      <c r="BT59" s="157"/>
      <c r="BU59" s="93"/>
      <c r="BV59" s="60"/>
      <c r="BW59" s="61"/>
      <c r="BX59" s="60"/>
      <c r="BY59" s="62"/>
      <c r="BZ59" s="62"/>
      <c r="CA59" s="60"/>
      <c r="CB59" s="60"/>
      <c r="CC59" s="60"/>
      <c r="CD59" s="60"/>
    </row>
    <row r="60" spans="1:82" ht="35.1" customHeight="1">
      <c r="J60" s="194"/>
      <c r="K60" s="194"/>
      <c r="L60" s="194"/>
      <c r="M60" s="194"/>
    </row>
    <row r="61" spans="1:82" ht="35.1" customHeight="1">
      <c r="E61" s="34">
        <f t="shared" ref="E61:H61" si="55">E32</f>
        <v>0</v>
      </c>
      <c r="F61" s="34">
        <f t="shared" si="55"/>
        <v>0</v>
      </c>
      <c r="G61" s="34">
        <f t="shared" si="55"/>
        <v>0</v>
      </c>
      <c r="H61" s="34">
        <f t="shared" si="55"/>
        <v>0</v>
      </c>
      <c r="J61" s="194"/>
      <c r="K61" s="194"/>
      <c r="L61" s="194"/>
      <c r="M61" s="194"/>
      <c r="BR61" s="37">
        <f>BR32</f>
        <v>5</v>
      </c>
      <c r="BS61" s="38">
        <f>SUM(E61:BR61)</f>
        <v>5</v>
      </c>
      <c r="BT61" s="40"/>
    </row>
    <row r="62" spans="1:82" ht="35.1" customHeight="1">
      <c r="E62" s="63">
        <v>18</v>
      </c>
      <c r="F62" s="63">
        <v>136</v>
      </c>
      <c r="G62" s="63">
        <v>182</v>
      </c>
      <c r="H62" s="63">
        <v>108</v>
      </c>
      <c r="I62" s="64"/>
      <c r="J62" s="209"/>
      <c r="K62" s="209"/>
      <c r="L62" s="209"/>
      <c r="M62" s="209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>
        <v>0</v>
      </c>
      <c r="BS62" s="65">
        <v>274</v>
      </c>
      <c r="BT62" s="40"/>
    </row>
    <row r="63" spans="1:82" ht="35.1" customHeight="1">
      <c r="E63" s="34">
        <f t="shared" ref="E63:H63" si="56">E61-E62</f>
        <v>-18</v>
      </c>
      <c r="F63" s="34">
        <f t="shared" si="56"/>
        <v>-136</v>
      </c>
      <c r="G63" s="34">
        <f t="shared" si="56"/>
        <v>-182</v>
      </c>
      <c r="H63" s="34">
        <f t="shared" si="56"/>
        <v>-108</v>
      </c>
      <c r="J63" s="194"/>
      <c r="K63" s="194"/>
      <c r="L63" s="194"/>
      <c r="M63" s="194"/>
      <c r="BR63" s="37">
        <f t="shared" ref="BR63" si="57">BR61-BR62</f>
        <v>5</v>
      </c>
      <c r="BS63" s="38">
        <f>SUM(E63:BR63)</f>
        <v>-439</v>
      </c>
      <c r="BT63" s="40"/>
    </row>
    <row r="64" spans="1:82" ht="35.1" customHeight="1">
      <c r="J64" s="194"/>
      <c r="K64" s="194"/>
      <c r="L64" s="194"/>
      <c r="M64" s="194"/>
    </row>
    <row r="65" spans="4:72" ht="35.1" customHeight="1">
      <c r="J65" s="194"/>
      <c r="K65" s="194"/>
      <c r="L65" s="194"/>
      <c r="M65" s="194"/>
    </row>
    <row r="66" spans="4:72" ht="35.1" customHeight="1">
      <c r="J66" s="194"/>
      <c r="K66" s="194"/>
      <c r="L66" s="194"/>
      <c r="M66" s="194"/>
    </row>
    <row r="67" spans="4:72" ht="35.1" customHeight="1">
      <c r="D67" s="66"/>
      <c r="J67" s="194"/>
      <c r="K67" s="194"/>
      <c r="L67" s="194"/>
      <c r="M67" s="194"/>
    </row>
    <row r="68" spans="4:72" ht="35.1" customHeight="1">
      <c r="D68" s="66"/>
      <c r="J68" s="194"/>
      <c r="K68" s="194"/>
      <c r="L68" s="194"/>
      <c r="M68" s="194"/>
    </row>
    <row r="69" spans="4:72" ht="35.1" customHeight="1">
      <c r="D69" s="67"/>
      <c r="J69" s="194"/>
      <c r="K69" s="194"/>
      <c r="L69" s="194"/>
      <c r="M69" s="194"/>
    </row>
    <row r="70" spans="4:72" ht="35.1" customHeight="1">
      <c r="D70" s="67"/>
      <c r="J70" s="194"/>
      <c r="K70" s="194"/>
      <c r="L70" s="194"/>
      <c r="M70" s="194"/>
    </row>
    <row r="71" spans="4:72" ht="35.1" customHeight="1">
      <c r="D71" s="66"/>
      <c r="J71" s="194"/>
      <c r="K71" s="194"/>
      <c r="L71" s="194"/>
      <c r="M71" s="194"/>
    </row>
    <row r="72" spans="4:72" ht="35.1" customHeight="1">
      <c r="D72" s="67"/>
      <c r="J72" s="194"/>
      <c r="K72" s="194"/>
      <c r="L72" s="194"/>
      <c r="M72" s="194"/>
    </row>
    <row r="73" spans="4:72" ht="35.1" customHeight="1">
      <c r="D73" s="66"/>
      <c r="J73" s="194"/>
      <c r="K73" s="194"/>
      <c r="L73" s="194"/>
      <c r="M73" s="194"/>
    </row>
    <row r="74" spans="4:72" ht="35.1" customHeight="1">
      <c r="J74" s="194"/>
      <c r="K74" s="194"/>
      <c r="L74" s="194"/>
      <c r="M74" s="194"/>
    </row>
    <row r="75" spans="4:72" ht="35.1" customHeight="1">
      <c r="D75" s="67"/>
      <c r="J75" s="194"/>
      <c r="K75" s="194"/>
      <c r="L75" s="194"/>
      <c r="M75" s="194"/>
    </row>
    <row r="76" spans="4:72" ht="35.1" customHeight="1">
      <c r="D76" s="66"/>
      <c r="I76" s="34"/>
      <c r="J76" s="180"/>
      <c r="K76" s="180"/>
      <c r="L76" s="180"/>
      <c r="M76" s="180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</row>
    <row r="77" spans="4:72" ht="35.1" customHeight="1">
      <c r="J77" s="194"/>
      <c r="K77" s="194"/>
      <c r="L77" s="194"/>
      <c r="M77" s="194"/>
    </row>
    <row r="78" spans="4:72" ht="35.1" customHeight="1">
      <c r="J78" s="194"/>
      <c r="K78" s="194"/>
      <c r="L78" s="194"/>
      <c r="M78" s="194"/>
    </row>
    <row r="79" spans="4:72" ht="35.1" customHeight="1">
      <c r="J79" s="194"/>
      <c r="K79" s="194"/>
      <c r="L79" s="194"/>
      <c r="M79" s="194"/>
    </row>
    <row r="80" spans="4:72" ht="35.1" customHeight="1">
      <c r="J80" s="194"/>
      <c r="K80" s="194"/>
      <c r="L80" s="194"/>
      <c r="M80" s="194"/>
    </row>
    <row r="81" spans="2:72" ht="35.1" customHeight="1">
      <c r="J81" s="194"/>
      <c r="K81" s="194"/>
      <c r="L81" s="194"/>
      <c r="M81" s="194"/>
    </row>
    <row r="82" spans="2:72" ht="35.1" customHeight="1">
      <c r="J82" s="194"/>
      <c r="K82" s="194"/>
      <c r="L82" s="194"/>
      <c r="M82" s="194"/>
    </row>
    <row r="83" spans="2:72" ht="35.1" customHeight="1">
      <c r="J83" s="194"/>
      <c r="K83" s="194"/>
      <c r="L83" s="194"/>
      <c r="M83" s="194"/>
    </row>
    <row r="84" spans="2:72" ht="35.1" customHeight="1">
      <c r="J84" s="194"/>
      <c r="K84" s="194"/>
      <c r="L84" s="194"/>
      <c r="M84" s="194"/>
    </row>
    <row r="85" spans="2:72" ht="35.1" customHeight="1">
      <c r="J85" s="194"/>
      <c r="K85" s="194"/>
      <c r="L85" s="194"/>
      <c r="M85" s="194"/>
    </row>
    <row r="86" spans="2:72" ht="35.1" customHeight="1">
      <c r="J86" s="194"/>
      <c r="K86" s="194"/>
      <c r="L86" s="194"/>
      <c r="M86" s="194"/>
    </row>
    <row r="87" spans="2:72" ht="35.1" customHeight="1">
      <c r="B87" s="68"/>
      <c r="I87" s="34"/>
      <c r="J87" s="180"/>
      <c r="K87" s="180"/>
      <c r="L87" s="180"/>
      <c r="M87" s="180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</row>
  </sheetData>
  <sortState xmlns:xlrd2="http://schemas.microsoft.com/office/spreadsheetml/2017/richdata2" ref="C18:CB29">
    <sortCondition ref="C18:C29"/>
  </sortState>
  <mergeCells count="36">
    <mergeCell ref="BW31:BX31"/>
    <mergeCell ref="BT14:BT16"/>
    <mergeCell ref="BS14:BS16"/>
    <mergeCell ref="N14:R14"/>
    <mergeCell ref="N15:R15"/>
    <mergeCell ref="S14:W14"/>
    <mergeCell ref="S15:W15"/>
    <mergeCell ref="X14:AB14"/>
    <mergeCell ref="X15:AB15"/>
    <mergeCell ref="AC14:AG14"/>
    <mergeCell ref="AC15:AG15"/>
    <mergeCell ref="AH14:AL14"/>
    <mergeCell ref="AH15:AL15"/>
    <mergeCell ref="AS14:AW14"/>
    <mergeCell ref="AS15:AW15"/>
    <mergeCell ref="AX14:BB14"/>
    <mergeCell ref="B59:D59"/>
    <mergeCell ref="B58:D58"/>
    <mergeCell ref="B15:D15"/>
    <mergeCell ref="B14:D14"/>
    <mergeCell ref="B30:D30"/>
    <mergeCell ref="B31:D31"/>
    <mergeCell ref="B32:D32"/>
    <mergeCell ref="E15:H15"/>
    <mergeCell ref="E14:H14"/>
    <mergeCell ref="J14:M14"/>
    <mergeCell ref="J15:M15"/>
    <mergeCell ref="AM14:AR14"/>
    <mergeCell ref="AM15:AR15"/>
    <mergeCell ref="BM14:BQ14"/>
    <mergeCell ref="BM15:BQ15"/>
    <mergeCell ref="AX15:BB15"/>
    <mergeCell ref="BC14:BG14"/>
    <mergeCell ref="BC15:BG15"/>
    <mergeCell ref="BH14:BL14"/>
    <mergeCell ref="BH15:BL15"/>
  </mergeCells>
  <phoneticPr fontId="1" type="noConversion"/>
  <pageMargins left="0.15748031496062992" right="0.15748031496062992" top="0.74803149606299213" bottom="0.74803149606299213" header="0.31496062992125984" footer="0.31496062992125984"/>
  <pageSetup paperSize="9" scale="27" orientation="landscape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5"/>
  <sheetViews>
    <sheetView topLeftCell="A104" workbookViewId="0">
      <selection activeCell="E125" sqref="E125"/>
    </sheetView>
  </sheetViews>
  <sheetFormatPr defaultColWidth="9" defaultRowHeight="24.95" customHeight="1"/>
  <cols>
    <col min="1" max="1" width="10.25" style="17" bestFit="1" customWidth="1"/>
    <col min="2" max="2" width="21.375" style="17" customWidth="1"/>
    <col min="3" max="3" width="82.375" style="17" bestFit="1" customWidth="1"/>
    <col min="4" max="4" width="23.25" style="17" customWidth="1"/>
    <col min="5" max="5" width="35.75" style="17" bestFit="1" customWidth="1"/>
    <col min="6" max="16384" width="9" style="17"/>
  </cols>
  <sheetData>
    <row r="1" spans="1:5" ht="24.95" customHeight="1" thickBot="1">
      <c r="A1" s="12" t="s">
        <v>64</v>
      </c>
      <c r="B1" s="13" t="s">
        <v>65</v>
      </c>
      <c r="C1" s="14" t="s">
        <v>46</v>
      </c>
      <c r="D1" s="15" t="s">
        <v>47</v>
      </c>
      <c r="E1" s="16" t="s">
        <v>66</v>
      </c>
    </row>
    <row r="2" spans="1:5" ht="24.95" customHeight="1">
      <c r="A2" s="18" t="s">
        <v>67</v>
      </c>
      <c r="B2" s="19" t="s">
        <v>68</v>
      </c>
      <c r="C2" s="20" t="s">
        <v>69</v>
      </c>
      <c r="D2" s="21"/>
      <c r="E2" s="21" t="s">
        <v>70</v>
      </c>
    </row>
    <row r="3" spans="1:5" ht="24.95" customHeight="1">
      <c r="A3" s="22" t="s">
        <v>71</v>
      </c>
      <c r="B3" s="23" t="s">
        <v>72</v>
      </c>
      <c r="C3" s="24" t="s">
        <v>73</v>
      </c>
      <c r="D3" s="25" t="s">
        <v>74</v>
      </c>
      <c r="E3" s="25" t="s">
        <v>75</v>
      </c>
    </row>
    <row r="4" spans="1:5" ht="24.95" customHeight="1">
      <c r="A4" s="22" t="s">
        <v>76</v>
      </c>
      <c r="B4" s="23" t="s">
        <v>77</v>
      </c>
      <c r="C4" s="30" t="s">
        <v>78</v>
      </c>
      <c r="D4" s="25"/>
      <c r="E4" s="25"/>
    </row>
    <row r="5" spans="1:5" ht="24.95" customHeight="1">
      <c r="A5" s="22" t="s">
        <v>76</v>
      </c>
      <c r="B5" s="23" t="s">
        <v>79</v>
      </c>
      <c r="C5" s="30" t="s">
        <v>78</v>
      </c>
      <c r="D5" s="25"/>
      <c r="E5" s="25"/>
    </row>
    <row r="6" spans="1:5" ht="24.95" customHeight="1">
      <c r="A6" s="22" t="s">
        <v>76</v>
      </c>
      <c r="B6" s="23" t="s">
        <v>80</v>
      </c>
      <c r="C6" s="30" t="s">
        <v>78</v>
      </c>
      <c r="D6" s="25"/>
      <c r="E6" s="25"/>
    </row>
    <row r="7" spans="1:5" ht="24.95" customHeight="1">
      <c r="A7" s="22" t="s">
        <v>76</v>
      </c>
      <c r="B7" s="23" t="s">
        <v>81</v>
      </c>
      <c r="C7" s="24" t="s">
        <v>82</v>
      </c>
      <c r="D7" s="25"/>
      <c r="E7" s="25"/>
    </row>
    <row r="8" spans="1:5" ht="24.95" customHeight="1">
      <c r="A8" s="22" t="s">
        <v>76</v>
      </c>
      <c r="B8" s="23" t="s">
        <v>83</v>
      </c>
      <c r="C8" s="24" t="s">
        <v>82</v>
      </c>
      <c r="D8" s="25"/>
      <c r="E8" s="25"/>
    </row>
    <row r="9" spans="1:5" ht="24.95" customHeight="1">
      <c r="A9" s="22" t="s">
        <v>84</v>
      </c>
      <c r="B9" s="23" t="s">
        <v>85</v>
      </c>
      <c r="C9" s="24" t="s">
        <v>82</v>
      </c>
      <c r="D9" s="25"/>
      <c r="E9" s="25"/>
    </row>
    <row r="10" spans="1:5" ht="24.95" customHeight="1">
      <c r="A10" s="22" t="s">
        <v>84</v>
      </c>
      <c r="B10" s="23" t="s">
        <v>86</v>
      </c>
      <c r="C10" s="24" t="s">
        <v>82</v>
      </c>
      <c r="D10" s="25"/>
      <c r="E10" s="25"/>
    </row>
    <row r="11" spans="1:5" ht="24.95" customHeight="1">
      <c r="A11" s="22" t="s">
        <v>87</v>
      </c>
      <c r="B11" s="23" t="s">
        <v>88</v>
      </c>
      <c r="C11" s="24" t="s">
        <v>89</v>
      </c>
      <c r="D11" s="25" t="s">
        <v>90</v>
      </c>
      <c r="E11" s="25" t="s">
        <v>91</v>
      </c>
    </row>
    <row r="12" spans="1:5" ht="24.95" customHeight="1">
      <c r="A12" s="22" t="s">
        <v>87</v>
      </c>
      <c r="B12" s="23" t="s">
        <v>92</v>
      </c>
      <c r="C12" s="24" t="s">
        <v>93</v>
      </c>
      <c r="D12" s="25"/>
      <c r="E12" s="25" t="s">
        <v>94</v>
      </c>
    </row>
    <row r="13" spans="1:5" ht="24.95" customHeight="1">
      <c r="A13" s="22" t="s">
        <v>95</v>
      </c>
      <c r="B13" s="23" t="s">
        <v>96</v>
      </c>
      <c r="C13" s="24" t="s">
        <v>97</v>
      </c>
      <c r="D13" s="25"/>
      <c r="E13" s="25" t="s">
        <v>98</v>
      </c>
    </row>
    <row r="14" spans="1:5" ht="24.95" customHeight="1">
      <c r="A14" s="22" t="s">
        <v>99</v>
      </c>
      <c r="B14" s="23" t="s">
        <v>100</v>
      </c>
      <c r="C14" s="24" t="s">
        <v>101</v>
      </c>
      <c r="D14" s="25"/>
      <c r="E14" s="25" t="s">
        <v>102</v>
      </c>
    </row>
    <row r="15" spans="1:5" ht="24.95" customHeight="1">
      <c r="A15" s="22" t="s">
        <v>103</v>
      </c>
      <c r="B15" s="23" t="s">
        <v>104</v>
      </c>
      <c r="C15" s="30" t="s">
        <v>105</v>
      </c>
      <c r="D15" s="25"/>
      <c r="E15" s="25" t="s">
        <v>106</v>
      </c>
    </row>
    <row r="16" spans="1:5" ht="24.95" customHeight="1">
      <c r="A16" s="22" t="s">
        <v>107</v>
      </c>
      <c r="B16" s="29" t="s">
        <v>108</v>
      </c>
      <c r="C16" s="30" t="s">
        <v>109</v>
      </c>
      <c r="D16" s="25"/>
      <c r="E16" s="25" t="s">
        <v>110</v>
      </c>
    </row>
    <row r="17" spans="1:26" ht="24.95" customHeight="1">
      <c r="A17" s="22" t="s">
        <v>107</v>
      </c>
      <c r="B17" s="29" t="s">
        <v>111</v>
      </c>
      <c r="C17" s="24" t="s">
        <v>112</v>
      </c>
      <c r="D17" s="25"/>
      <c r="E17" s="25"/>
    </row>
    <row r="18" spans="1:26" ht="24.95" customHeight="1">
      <c r="A18" s="22" t="s">
        <v>107</v>
      </c>
      <c r="B18" s="29" t="s">
        <v>113</v>
      </c>
      <c r="C18" s="30" t="s">
        <v>114</v>
      </c>
      <c r="D18" s="25"/>
      <c r="E18" s="25" t="s">
        <v>115</v>
      </c>
    </row>
    <row r="19" spans="1:26" ht="24.95" customHeight="1">
      <c r="A19" s="22" t="s">
        <v>107</v>
      </c>
      <c r="B19" s="23" t="s">
        <v>116</v>
      </c>
      <c r="C19" s="24" t="s">
        <v>117</v>
      </c>
      <c r="D19" s="25"/>
      <c r="E19" s="25" t="s">
        <v>118</v>
      </c>
    </row>
    <row r="20" spans="1:26" ht="24.95" customHeight="1">
      <c r="A20" s="22" t="s">
        <v>119</v>
      </c>
      <c r="B20" s="23" t="s">
        <v>120</v>
      </c>
      <c r="C20" s="24" t="s">
        <v>121</v>
      </c>
      <c r="D20" s="25"/>
      <c r="E20" s="25" t="s">
        <v>122</v>
      </c>
    </row>
    <row r="21" spans="1:26" ht="24.95" customHeight="1">
      <c r="A21" s="22" t="s">
        <v>123</v>
      </c>
      <c r="B21" s="23" t="s">
        <v>124</v>
      </c>
      <c r="C21" s="79" t="s">
        <v>125</v>
      </c>
      <c r="D21" s="75"/>
      <c r="E21" s="75" t="s">
        <v>126</v>
      </c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1:26" ht="24.95" customHeight="1">
      <c r="A22" s="22" t="s">
        <v>127</v>
      </c>
      <c r="B22" s="23" t="s">
        <v>128</v>
      </c>
      <c r="C22" s="32" t="s">
        <v>129</v>
      </c>
      <c r="D22" s="75"/>
      <c r="E22" s="75" t="s">
        <v>130</v>
      </c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 ht="24.95" customHeight="1">
      <c r="A23" s="22" t="s">
        <v>127</v>
      </c>
      <c r="B23" s="23" t="s">
        <v>131</v>
      </c>
      <c r="C23" s="32" t="s">
        <v>132</v>
      </c>
      <c r="D23" s="75"/>
      <c r="E23" s="75" t="s">
        <v>133</v>
      </c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1:26" ht="24.95" customHeight="1">
      <c r="A24" s="22" t="s">
        <v>134</v>
      </c>
      <c r="B24" s="23" t="s">
        <v>135</v>
      </c>
      <c r="C24" s="32" t="s">
        <v>136</v>
      </c>
      <c r="D24" s="75"/>
      <c r="E24" s="75" t="s">
        <v>137</v>
      </c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spans="1:26" ht="24.95" customHeight="1">
      <c r="A25" s="22" t="s">
        <v>134</v>
      </c>
      <c r="B25" s="23" t="s">
        <v>138</v>
      </c>
      <c r="C25" s="74" t="s">
        <v>139</v>
      </c>
      <c r="D25" s="75"/>
      <c r="E25" s="75" t="s">
        <v>140</v>
      </c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spans="1:26" ht="24.95" customHeight="1">
      <c r="A26" s="22" t="s">
        <v>141</v>
      </c>
      <c r="B26" s="23" t="s">
        <v>142</v>
      </c>
      <c r="C26" s="32" t="s">
        <v>143</v>
      </c>
      <c r="D26" s="75"/>
      <c r="E26" s="75" t="s">
        <v>144</v>
      </c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ht="24.95" customHeight="1">
      <c r="A27" s="22" t="s">
        <v>141</v>
      </c>
      <c r="B27" s="23" t="s">
        <v>145</v>
      </c>
      <c r="C27" s="32" t="s">
        <v>69</v>
      </c>
      <c r="D27" s="75" t="s">
        <v>146</v>
      </c>
      <c r="E27" s="75" t="s">
        <v>147</v>
      </c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spans="1:26" ht="24.95" customHeight="1">
      <c r="A28" s="22" t="s">
        <v>148</v>
      </c>
      <c r="B28" s="23" t="s">
        <v>149</v>
      </c>
      <c r="C28" s="32" t="s">
        <v>150</v>
      </c>
      <c r="D28" s="75"/>
      <c r="E28" s="75" t="s">
        <v>151</v>
      </c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spans="1:26" ht="24.95" customHeight="1">
      <c r="A29" s="22" t="s">
        <v>148</v>
      </c>
      <c r="B29" s="23" t="s">
        <v>152</v>
      </c>
      <c r="C29" s="74" t="s">
        <v>153</v>
      </c>
      <c r="D29" s="75"/>
      <c r="E29" s="75" t="s">
        <v>154</v>
      </c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spans="1:26" ht="24.95" customHeight="1">
      <c r="A30" s="22" t="s">
        <v>148</v>
      </c>
      <c r="B30" s="23" t="s">
        <v>155</v>
      </c>
      <c r="C30" s="32" t="s">
        <v>156</v>
      </c>
      <c r="D30" s="75"/>
      <c r="E30" s="75" t="s">
        <v>157</v>
      </c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spans="1:26" ht="24.95" customHeight="1">
      <c r="A31" s="22" t="s">
        <v>148</v>
      </c>
      <c r="B31" s="23" t="s">
        <v>158</v>
      </c>
      <c r="C31" s="32" t="s">
        <v>159</v>
      </c>
      <c r="D31" s="75" t="s">
        <v>160</v>
      </c>
      <c r="E31" s="75" t="s">
        <v>161</v>
      </c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spans="1:26" ht="24.95" customHeight="1">
      <c r="A32" s="22" t="s">
        <v>162</v>
      </c>
      <c r="B32" s="23" t="s">
        <v>163</v>
      </c>
      <c r="C32" s="32" t="s">
        <v>164</v>
      </c>
      <c r="D32" s="75"/>
      <c r="E32" s="75" t="s">
        <v>165</v>
      </c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spans="1:26" ht="24.95" customHeight="1">
      <c r="A33" s="22" t="s">
        <v>162</v>
      </c>
      <c r="B33" s="23" t="s">
        <v>166</v>
      </c>
      <c r="C33" s="32" t="s">
        <v>167</v>
      </c>
      <c r="D33" s="75" t="s">
        <v>168</v>
      </c>
      <c r="E33" s="75" t="s">
        <v>169</v>
      </c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spans="1:26" ht="24.95" customHeight="1">
      <c r="A34" s="22" t="s">
        <v>162</v>
      </c>
      <c r="B34" s="23" t="s">
        <v>170</v>
      </c>
      <c r="C34" s="32" t="s">
        <v>171</v>
      </c>
      <c r="D34" s="75"/>
      <c r="E34" s="75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spans="1:26" ht="24.95" customHeight="1">
      <c r="A35" s="22" t="s">
        <v>162</v>
      </c>
      <c r="B35" s="23" t="s">
        <v>172</v>
      </c>
      <c r="C35" s="32" t="s">
        <v>173</v>
      </c>
      <c r="D35" s="77"/>
      <c r="E35" s="75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spans="1:26" ht="24.95" customHeight="1">
      <c r="A36" s="22" t="s">
        <v>174</v>
      </c>
      <c r="B36" s="23" t="s">
        <v>175</v>
      </c>
      <c r="C36" s="32" t="s">
        <v>176</v>
      </c>
      <c r="D36" s="75"/>
      <c r="E36" s="75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spans="1:26" ht="24.95" customHeight="1">
      <c r="A37" s="22" t="s">
        <v>177</v>
      </c>
      <c r="B37" s="23" t="s">
        <v>178</v>
      </c>
      <c r="C37" s="32" t="s">
        <v>179</v>
      </c>
      <c r="D37" s="75"/>
      <c r="E37" s="75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spans="1:26" ht="24.95" customHeight="1">
      <c r="A38" s="22" t="s">
        <v>180</v>
      </c>
      <c r="B38" s="23" t="s">
        <v>181</v>
      </c>
      <c r="C38" s="32" t="s">
        <v>182</v>
      </c>
      <c r="D38" s="75"/>
      <c r="E38" s="75" t="s">
        <v>183</v>
      </c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spans="1:26" ht="24.95" customHeight="1">
      <c r="A39" s="22" t="s">
        <v>180</v>
      </c>
      <c r="B39" s="23" t="s">
        <v>184</v>
      </c>
      <c r="C39" s="32" t="s">
        <v>185</v>
      </c>
      <c r="D39" s="73" t="s">
        <v>186</v>
      </c>
      <c r="E39" s="75" t="s">
        <v>187</v>
      </c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spans="1:26" ht="24.95" customHeight="1">
      <c r="A40" s="22" t="s">
        <v>180</v>
      </c>
      <c r="B40" s="23" t="s">
        <v>188</v>
      </c>
      <c r="C40" s="32" t="s">
        <v>189</v>
      </c>
      <c r="D40" s="75"/>
      <c r="E40" s="75" t="s">
        <v>190</v>
      </c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spans="1:26" ht="24.95" customHeight="1">
      <c r="A41" s="22" t="s">
        <v>191</v>
      </c>
      <c r="B41" s="23" t="s">
        <v>192</v>
      </c>
      <c r="C41" s="32" t="s">
        <v>193</v>
      </c>
      <c r="D41" s="75"/>
      <c r="E41" s="75" t="s">
        <v>194</v>
      </c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spans="1:26" ht="24.95" customHeight="1">
      <c r="A42" s="22" t="s">
        <v>195</v>
      </c>
      <c r="B42" s="23" t="s">
        <v>196</v>
      </c>
      <c r="C42" s="32" t="s">
        <v>197</v>
      </c>
      <c r="D42" s="75"/>
      <c r="E42" s="75" t="s">
        <v>198</v>
      </c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spans="1:26" ht="24.95" customHeight="1">
      <c r="A43" s="22" t="s">
        <v>195</v>
      </c>
      <c r="B43" s="23" t="s">
        <v>199</v>
      </c>
      <c r="C43" s="32" t="s">
        <v>200</v>
      </c>
      <c r="D43" s="75"/>
      <c r="E43" s="75" t="s">
        <v>201</v>
      </c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spans="1:26" ht="24.95" customHeight="1">
      <c r="A44" s="22" t="s">
        <v>202</v>
      </c>
      <c r="B44" s="23" t="s">
        <v>203</v>
      </c>
      <c r="C44" s="32" t="s">
        <v>204</v>
      </c>
      <c r="D44" s="75"/>
      <c r="E44" s="75" t="s">
        <v>205</v>
      </c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spans="1:26" ht="24.95" customHeight="1">
      <c r="A45" s="22" t="s">
        <v>202</v>
      </c>
      <c r="B45" s="23" t="s">
        <v>206</v>
      </c>
      <c r="C45" s="32" t="s">
        <v>207</v>
      </c>
      <c r="D45" s="75"/>
      <c r="E45" s="75" t="s">
        <v>208</v>
      </c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spans="1:26" ht="24.95" customHeight="1">
      <c r="A46" s="22" t="s">
        <v>209</v>
      </c>
      <c r="B46" s="23" t="s">
        <v>210</v>
      </c>
      <c r="C46" s="32" t="s">
        <v>211</v>
      </c>
      <c r="D46" s="75"/>
      <c r="E46" s="75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spans="1:26" ht="24.95" customHeight="1">
      <c r="A47" s="22" t="s">
        <v>209</v>
      </c>
      <c r="B47" s="23" t="s">
        <v>212</v>
      </c>
      <c r="C47" s="32" t="s">
        <v>213</v>
      </c>
      <c r="D47" s="75"/>
      <c r="E47" s="75" t="s">
        <v>214</v>
      </c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spans="1:26" ht="24.95" customHeight="1">
      <c r="A48" s="22" t="s">
        <v>215</v>
      </c>
      <c r="B48" s="23" t="s">
        <v>216</v>
      </c>
      <c r="C48" s="32" t="s">
        <v>217</v>
      </c>
      <c r="D48" s="75"/>
      <c r="E48" s="75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spans="1:26" ht="24.95" customHeight="1">
      <c r="A49" s="22" t="s">
        <v>218</v>
      </c>
      <c r="B49" s="23" t="s">
        <v>219</v>
      </c>
      <c r="C49" s="32" t="s">
        <v>220</v>
      </c>
      <c r="D49" s="75" t="s">
        <v>221</v>
      </c>
      <c r="E49" s="75" t="s">
        <v>222</v>
      </c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spans="1:26" ht="24.95" customHeight="1">
      <c r="A50" s="22" t="s">
        <v>223</v>
      </c>
      <c r="B50" s="23" t="s">
        <v>224</v>
      </c>
      <c r="C50" s="32" t="s">
        <v>225</v>
      </c>
      <c r="D50" s="75"/>
      <c r="E50" s="75" t="s">
        <v>226</v>
      </c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spans="1:26" ht="24.95" customHeight="1">
      <c r="A51" s="22" t="s">
        <v>227</v>
      </c>
      <c r="B51" s="23" t="s">
        <v>228</v>
      </c>
      <c r="C51" s="32" t="s">
        <v>229</v>
      </c>
      <c r="D51" s="75"/>
      <c r="E51" s="75" t="s">
        <v>230</v>
      </c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spans="1:26" ht="24.95" customHeight="1">
      <c r="A52" s="22" t="s">
        <v>231</v>
      </c>
      <c r="B52" s="23" t="s">
        <v>232</v>
      </c>
      <c r="C52" s="26" t="s">
        <v>233</v>
      </c>
      <c r="D52" s="25"/>
      <c r="E52" s="25" t="s">
        <v>234</v>
      </c>
    </row>
    <row r="53" spans="1:26" ht="24.95" customHeight="1">
      <c r="A53" s="22" t="s">
        <v>235</v>
      </c>
      <c r="B53" s="23" t="s">
        <v>236</v>
      </c>
      <c r="C53" s="24" t="s">
        <v>237</v>
      </c>
      <c r="D53" s="25" t="s">
        <v>238</v>
      </c>
      <c r="E53" s="25" t="s">
        <v>239</v>
      </c>
    </row>
    <row r="54" spans="1:26" ht="24.95" customHeight="1">
      <c r="A54" s="22" t="s">
        <v>235</v>
      </c>
      <c r="B54" s="23" t="s">
        <v>240</v>
      </c>
      <c r="C54" s="24" t="s">
        <v>241</v>
      </c>
      <c r="D54" s="25"/>
      <c r="E54" s="25"/>
    </row>
    <row r="55" spans="1:26" ht="24.95" customHeight="1">
      <c r="A55" s="22" t="s">
        <v>235</v>
      </c>
      <c r="B55" s="23" t="s">
        <v>242</v>
      </c>
      <c r="C55" s="24" t="s">
        <v>243</v>
      </c>
      <c r="D55" s="32" t="s">
        <v>243</v>
      </c>
      <c r="E55" s="25" t="s">
        <v>244</v>
      </c>
    </row>
    <row r="56" spans="1:26" ht="24.95" customHeight="1">
      <c r="A56" s="22" t="s">
        <v>235</v>
      </c>
      <c r="B56" s="23" t="s">
        <v>245</v>
      </c>
      <c r="C56" s="24" t="s">
        <v>246</v>
      </c>
      <c r="D56" s="25"/>
      <c r="E56" s="25" t="s">
        <v>98</v>
      </c>
    </row>
    <row r="57" spans="1:26" ht="24.95" customHeight="1">
      <c r="A57" s="22" t="s">
        <v>235</v>
      </c>
      <c r="B57" s="23" t="s">
        <v>247</v>
      </c>
      <c r="C57" s="24" t="s">
        <v>248</v>
      </c>
      <c r="D57" s="25"/>
      <c r="E57" s="25" t="s">
        <v>249</v>
      </c>
    </row>
    <row r="58" spans="1:26" ht="24.95" customHeight="1">
      <c r="A58" s="22" t="s">
        <v>250</v>
      </c>
      <c r="B58" s="23" t="s">
        <v>251</v>
      </c>
      <c r="C58" s="24" t="s">
        <v>252</v>
      </c>
      <c r="D58" s="25"/>
      <c r="E58" s="25" t="s">
        <v>253</v>
      </c>
    </row>
    <row r="59" spans="1:26" ht="24.95" customHeight="1">
      <c r="A59" s="22" t="s">
        <v>254</v>
      </c>
      <c r="B59" s="29" t="s">
        <v>255</v>
      </c>
      <c r="C59" s="24" t="s">
        <v>256</v>
      </c>
      <c r="D59" s="25"/>
      <c r="E59" s="25"/>
    </row>
    <row r="60" spans="1:26" ht="24.95" customHeight="1">
      <c r="A60" s="22" t="s">
        <v>257</v>
      </c>
      <c r="B60" s="23" t="s">
        <v>258</v>
      </c>
      <c r="C60" s="24" t="s">
        <v>259</v>
      </c>
      <c r="D60" s="25" t="s">
        <v>260</v>
      </c>
      <c r="E60" s="25" t="s">
        <v>261</v>
      </c>
    </row>
    <row r="61" spans="1:26" ht="24.95" customHeight="1">
      <c r="A61" s="22" t="s">
        <v>257</v>
      </c>
      <c r="B61" s="23" t="s">
        <v>262</v>
      </c>
      <c r="C61" s="24" t="s">
        <v>263</v>
      </c>
      <c r="D61" s="25"/>
      <c r="E61" s="25" t="s">
        <v>264</v>
      </c>
    </row>
    <row r="62" spans="1:26" ht="24.95" customHeight="1">
      <c r="A62" s="22" t="s">
        <v>257</v>
      </c>
      <c r="B62" s="23" t="s">
        <v>262</v>
      </c>
      <c r="C62" s="24" t="s">
        <v>265</v>
      </c>
      <c r="D62" s="25"/>
      <c r="E62" s="25" t="s">
        <v>264</v>
      </c>
    </row>
    <row r="63" spans="1:26" ht="24.95" customHeight="1">
      <c r="A63" s="22" t="s">
        <v>257</v>
      </c>
      <c r="B63" s="23" t="s">
        <v>266</v>
      </c>
      <c r="C63" s="24" t="s">
        <v>267</v>
      </c>
      <c r="D63" s="25"/>
      <c r="E63" s="25" t="s">
        <v>268</v>
      </c>
    </row>
    <row r="64" spans="1:26" ht="24.95" customHeight="1">
      <c r="A64" s="22" t="s">
        <v>257</v>
      </c>
      <c r="B64" s="23" t="s">
        <v>266</v>
      </c>
      <c r="C64" s="24" t="s">
        <v>269</v>
      </c>
      <c r="D64" s="25"/>
      <c r="E64" s="25" t="s">
        <v>268</v>
      </c>
    </row>
    <row r="65" spans="1:5" ht="24.95" customHeight="1">
      <c r="A65" s="22" t="s">
        <v>257</v>
      </c>
      <c r="B65" s="23" t="s">
        <v>270</v>
      </c>
      <c r="C65" s="24" t="s">
        <v>271</v>
      </c>
      <c r="D65" s="25"/>
      <c r="E65" s="25" t="s">
        <v>272</v>
      </c>
    </row>
    <row r="66" spans="1:5" ht="24.95" customHeight="1">
      <c r="A66" s="22" t="s">
        <v>273</v>
      </c>
      <c r="B66" s="23" t="s">
        <v>274</v>
      </c>
      <c r="C66" s="24" t="s">
        <v>275</v>
      </c>
      <c r="D66" s="25"/>
      <c r="E66" s="25"/>
    </row>
    <row r="67" spans="1:5" ht="24.95" customHeight="1">
      <c r="A67" s="22" t="s">
        <v>273</v>
      </c>
      <c r="B67" s="23" t="s">
        <v>276</v>
      </c>
      <c r="C67" s="24" t="s">
        <v>277</v>
      </c>
      <c r="D67" s="25"/>
      <c r="E67" s="25" t="s">
        <v>278</v>
      </c>
    </row>
    <row r="68" spans="1:5" ht="24.95" customHeight="1">
      <c r="A68" s="22" t="s">
        <v>279</v>
      </c>
      <c r="B68" s="23" t="s">
        <v>280</v>
      </c>
      <c r="C68" s="24" t="s">
        <v>277</v>
      </c>
      <c r="D68" s="25"/>
      <c r="E68" s="25"/>
    </row>
    <row r="69" spans="1:5" ht="24.95" customHeight="1">
      <c r="A69" s="22" t="s">
        <v>281</v>
      </c>
      <c r="B69" s="23" t="s">
        <v>282</v>
      </c>
      <c r="C69" s="24" t="s">
        <v>283</v>
      </c>
      <c r="D69" s="25"/>
      <c r="E69" s="25" t="s">
        <v>284</v>
      </c>
    </row>
    <row r="70" spans="1:5" ht="24.95" customHeight="1">
      <c r="A70" s="22" t="s">
        <v>281</v>
      </c>
      <c r="B70" s="23" t="s">
        <v>285</v>
      </c>
      <c r="C70" s="24" t="s">
        <v>286</v>
      </c>
      <c r="D70" s="25"/>
      <c r="E70" s="25"/>
    </row>
    <row r="71" spans="1:5" ht="24.95" customHeight="1">
      <c r="A71" s="22" t="s">
        <v>287</v>
      </c>
      <c r="B71" s="23" t="s">
        <v>288</v>
      </c>
      <c r="C71" s="24" t="s">
        <v>289</v>
      </c>
      <c r="D71" s="25" t="s">
        <v>290</v>
      </c>
      <c r="E71" s="25" t="s">
        <v>291</v>
      </c>
    </row>
    <row r="72" spans="1:5" ht="24.95" customHeight="1">
      <c r="A72" s="22" t="s">
        <v>292</v>
      </c>
      <c r="B72" s="23" t="s">
        <v>293</v>
      </c>
      <c r="C72" s="24" t="s">
        <v>294</v>
      </c>
      <c r="D72" s="25"/>
      <c r="E72" s="25" t="s">
        <v>295</v>
      </c>
    </row>
    <row r="73" spans="1:5" ht="24.95" customHeight="1">
      <c r="A73" s="22" t="s">
        <v>296</v>
      </c>
      <c r="B73" s="29" t="s">
        <v>297</v>
      </c>
      <c r="C73" s="24" t="s">
        <v>298</v>
      </c>
      <c r="D73" s="25"/>
      <c r="E73" s="25"/>
    </row>
    <row r="74" spans="1:5" ht="24.95" customHeight="1">
      <c r="A74" s="22" t="s">
        <v>299</v>
      </c>
      <c r="B74" s="29" t="s">
        <v>300</v>
      </c>
      <c r="C74" s="24" t="s">
        <v>301</v>
      </c>
      <c r="D74" s="25"/>
      <c r="E74" s="25"/>
    </row>
    <row r="75" spans="1:5" ht="24.95" customHeight="1">
      <c r="A75" s="22" t="s">
        <v>292</v>
      </c>
      <c r="B75" s="23" t="s">
        <v>302</v>
      </c>
      <c r="C75" s="24" t="s">
        <v>303</v>
      </c>
      <c r="D75" s="25"/>
      <c r="E75" s="25" t="s">
        <v>304</v>
      </c>
    </row>
    <row r="76" spans="1:5" ht="24.95" customHeight="1">
      <c r="A76" s="22" t="s">
        <v>305</v>
      </c>
      <c r="B76" s="23" t="s">
        <v>306</v>
      </c>
      <c r="C76" s="24" t="s">
        <v>307</v>
      </c>
      <c r="D76" s="25"/>
      <c r="E76" s="25" t="s">
        <v>308</v>
      </c>
    </row>
    <row r="77" spans="1:5" ht="24.95" customHeight="1">
      <c r="A77" s="22" t="s">
        <v>305</v>
      </c>
      <c r="B77" s="23" t="s">
        <v>309</v>
      </c>
      <c r="C77" s="24" t="s">
        <v>310</v>
      </c>
      <c r="D77" s="25"/>
      <c r="E77" s="25"/>
    </row>
    <row r="78" spans="1:5" ht="24.95" customHeight="1">
      <c r="A78" s="22" t="s">
        <v>305</v>
      </c>
      <c r="B78" s="23" t="s">
        <v>311</v>
      </c>
      <c r="C78" s="24" t="s">
        <v>310</v>
      </c>
      <c r="D78" s="25"/>
      <c r="E78" s="25" t="s">
        <v>312</v>
      </c>
    </row>
    <row r="79" spans="1:5" ht="24.95" customHeight="1">
      <c r="A79" s="22" t="s">
        <v>305</v>
      </c>
      <c r="B79" s="23" t="s">
        <v>313</v>
      </c>
      <c r="C79" s="24" t="s">
        <v>310</v>
      </c>
      <c r="D79" s="25"/>
      <c r="E79" s="25" t="s">
        <v>314</v>
      </c>
    </row>
    <row r="80" spans="1:5" ht="24.95" customHeight="1">
      <c r="A80" s="22" t="s">
        <v>305</v>
      </c>
      <c r="B80" s="23" t="s">
        <v>315</v>
      </c>
      <c r="C80" s="24" t="s">
        <v>316</v>
      </c>
      <c r="D80" s="25"/>
      <c r="E80" s="25"/>
    </row>
    <row r="81" spans="1:26" ht="24.95" customHeight="1">
      <c r="A81" s="22" t="s">
        <v>305</v>
      </c>
      <c r="B81" s="23" t="s">
        <v>317</v>
      </c>
      <c r="C81" s="24" t="s">
        <v>318</v>
      </c>
      <c r="D81" s="25"/>
      <c r="E81" s="25" t="s">
        <v>319</v>
      </c>
    </row>
    <row r="82" spans="1:26" ht="24.95" customHeight="1">
      <c r="A82" s="22" t="s">
        <v>320</v>
      </c>
      <c r="B82" s="23" t="s">
        <v>317</v>
      </c>
      <c r="C82" s="24" t="s">
        <v>321</v>
      </c>
      <c r="D82" s="25" t="s">
        <v>322</v>
      </c>
      <c r="E82" s="25" t="s">
        <v>323</v>
      </c>
    </row>
    <row r="83" spans="1:26" ht="24.95" customHeight="1">
      <c r="A83" s="22" t="s">
        <v>324</v>
      </c>
      <c r="B83" s="23" t="s">
        <v>325</v>
      </c>
      <c r="C83" s="24" t="s">
        <v>326</v>
      </c>
      <c r="D83" s="25"/>
      <c r="E83" s="25"/>
    </row>
    <row r="84" spans="1:26" ht="24.95" customHeight="1">
      <c r="A84" s="22" t="s">
        <v>327</v>
      </c>
      <c r="B84" s="23" t="s">
        <v>328</v>
      </c>
      <c r="C84" s="24" t="s">
        <v>329</v>
      </c>
      <c r="D84" s="25" t="s">
        <v>330</v>
      </c>
      <c r="E84" s="25" t="s">
        <v>331</v>
      </c>
    </row>
    <row r="85" spans="1:26" ht="24.95" customHeight="1">
      <c r="A85" s="22" t="s">
        <v>327</v>
      </c>
      <c r="B85" s="23" t="s">
        <v>332</v>
      </c>
      <c r="C85" s="24" t="s">
        <v>333</v>
      </c>
      <c r="D85" s="25" t="s">
        <v>334</v>
      </c>
      <c r="E85" s="25" t="s">
        <v>335</v>
      </c>
    </row>
    <row r="86" spans="1:26" ht="24.95" customHeight="1">
      <c r="A86" s="22" t="s">
        <v>336</v>
      </c>
      <c r="B86" s="23" t="s">
        <v>337</v>
      </c>
      <c r="C86" s="24" t="s">
        <v>338</v>
      </c>
      <c r="D86" s="25"/>
      <c r="E86" s="25" t="s">
        <v>339</v>
      </c>
    </row>
    <row r="87" spans="1:26" ht="24.95" customHeight="1">
      <c r="A87" s="22" t="s">
        <v>336</v>
      </c>
      <c r="B87" s="23" t="s">
        <v>340</v>
      </c>
      <c r="C87" s="24" t="s">
        <v>341</v>
      </c>
      <c r="D87" s="25"/>
      <c r="E87" s="25"/>
    </row>
    <row r="88" spans="1:26" ht="24.95" customHeight="1">
      <c r="A88" s="22" t="s">
        <v>336</v>
      </c>
      <c r="B88" s="23" t="s">
        <v>342</v>
      </c>
      <c r="C88" s="24" t="s">
        <v>343</v>
      </c>
      <c r="D88" s="25"/>
      <c r="E88" s="25"/>
    </row>
    <row r="89" spans="1:26" ht="24.95" customHeight="1">
      <c r="A89" s="22" t="s">
        <v>336</v>
      </c>
      <c r="B89" s="23" t="s">
        <v>344</v>
      </c>
      <c r="C89" s="33" t="s">
        <v>345</v>
      </c>
      <c r="D89" s="25" t="s">
        <v>346</v>
      </c>
      <c r="E89" s="25" t="s">
        <v>347</v>
      </c>
    </row>
    <row r="90" spans="1:26" ht="24.95" customHeight="1">
      <c r="A90" s="22" t="s">
        <v>348</v>
      </c>
      <c r="B90" s="23" t="s">
        <v>349</v>
      </c>
      <c r="C90" s="24" t="s">
        <v>350</v>
      </c>
      <c r="D90" s="25"/>
      <c r="E90" s="25" t="s">
        <v>351</v>
      </c>
    </row>
    <row r="91" spans="1:26" ht="24.95" customHeight="1">
      <c r="A91" s="22" t="s">
        <v>352</v>
      </c>
      <c r="B91" s="23" t="s">
        <v>353</v>
      </c>
      <c r="C91" s="24" t="s">
        <v>354</v>
      </c>
      <c r="D91" s="25"/>
      <c r="E91" s="25" t="s">
        <v>355</v>
      </c>
    </row>
    <row r="92" spans="1:26" ht="24.95" customHeight="1">
      <c r="A92" s="22" t="s">
        <v>356</v>
      </c>
      <c r="B92" s="23" t="s">
        <v>357</v>
      </c>
      <c r="C92" s="74" t="s">
        <v>358</v>
      </c>
      <c r="D92" s="75"/>
      <c r="E92" s="75" t="s">
        <v>359</v>
      </c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spans="1:26" ht="24.95" customHeight="1">
      <c r="A93" s="22" t="s">
        <v>360</v>
      </c>
      <c r="B93" s="23" t="s">
        <v>361</v>
      </c>
      <c r="C93" s="74" t="s">
        <v>362</v>
      </c>
      <c r="D93" s="75"/>
      <c r="E93" s="75" t="s">
        <v>363</v>
      </c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spans="1:26" ht="24.95" customHeight="1">
      <c r="A94" s="22" t="s">
        <v>364</v>
      </c>
      <c r="B94" s="23" t="s">
        <v>365</v>
      </c>
      <c r="C94" s="74" t="s">
        <v>366</v>
      </c>
      <c r="D94" s="75"/>
      <c r="E94" s="75" t="s">
        <v>367</v>
      </c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spans="1:26" ht="24.95" customHeight="1">
      <c r="A95" s="22" t="s">
        <v>368</v>
      </c>
      <c r="B95" s="23" t="s">
        <v>369</v>
      </c>
      <c r="C95" s="32" t="s">
        <v>370</v>
      </c>
      <c r="D95" s="75"/>
      <c r="E95" s="75" t="s">
        <v>371</v>
      </c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spans="1:26" ht="24.95" customHeight="1">
      <c r="A96" s="22" t="s">
        <v>372</v>
      </c>
      <c r="B96" s="23" t="s">
        <v>373</v>
      </c>
      <c r="C96" s="32" t="s">
        <v>374</v>
      </c>
      <c r="D96" s="75"/>
      <c r="E96" s="75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spans="1:26" ht="24.95" customHeight="1">
      <c r="A97" s="22" t="s">
        <v>375</v>
      </c>
      <c r="B97" s="23" t="s">
        <v>376</v>
      </c>
      <c r="C97" s="32" t="s">
        <v>377</v>
      </c>
      <c r="D97" s="75"/>
      <c r="E97" s="75" t="s">
        <v>378</v>
      </c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spans="1:26" ht="24.95" customHeight="1">
      <c r="A98" s="28" t="s">
        <v>379</v>
      </c>
      <c r="B98" s="29" t="s">
        <v>380</v>
      </c>
      <c r="C98" s="32" t="s">
        <v>381</v>
      </c>
      <c r="D98" s="75"/>
      <c r="E98" s="75" t="s">
        <v>382</v>
      </c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spans="1:26" ht="24.95" customHeight="1">
      <c r="A99" s="28" t="s">
        <v>103</v>
      </c>
      <c r="B99" s="29" t="s">
        <v>383</v>
      </c>
      <c r="C99" s="32" t="s">
        <v>384</v>
      </c>
      <c r="D99" s="75"/>
      <c r="E99" s="75" t="s">
        <v>385</v>
      </c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spans="1:26" ht="24.95" customHeight="1">
      <c r="A100" s="28" t="s">
        <v>386</v>
      </c>
      <c r="B100" s="29" t="s">
        <v>387</v>
      </c>
      <c r="C100" s="32" t="s">
        <v>388</v>
      </c>
      <c r="D100" s="75"/>
      <c r="E100" s="75" t="s">
        <v>389</v>
      </c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spans="1:26" ht="24.95" customHeight="1">
      <c r="A101" s="28" t="s">
        <v>76</v>
      </c>
      <c r="B101" s="29" t="s">
        <v>390</v>
      </c>
      <c r="C101" s="74" t="s">
        <v>391</v>
      </c>
      <c r="D101" s="75"/>
      <c r="E101" s="75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spans="1:26" ht="24.95" customHeight="1">
      <c r="A102" s="28" t="s">
        <v>76</v>
      </c>
      <c r="B102" s="29" t="s">
        <v>392</v>
      </c>
      <c r="C102" s="32" t="s">
        <v>393</v>
      </c>
      <c r="D102" s="75"/>
      <c r="E102" s="75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spans="1:26" ht="24.95" customHeight="1">
      <c r="A103" s="28" t="s">
        <v>103</v>
      </c>
      <c r="B103" s="29" t="s">
        <v>394</v>
      </c>
      <c r="C103" s="32" t="s">
        <v>395</v>
      </c>
      <c r="D103" s="75"/>
      <c r="E103" s="75" t="s">
        <v>396</v>
      </c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spans="1:26" ht="24.95" customHeight="1">
      <c r="A104" s="28" t="s">
        <v>257</v>
      </c>
      <c r="B104" s="29" t="s">
        <v>397</v>
      </c>
      <c r="C104" s="32" t="s">
        <v>398</v>
      </c>
      <c r="D104" s="75"/>
      <c r="E104" s="75" t="s">
        <v>399</v>
      </c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spans="1:26" ht="24.95" customHeight="1">
      <c r="A105" s="28" t="s">
        <v>257</v>
      </c>
      <c r="B105" s="29" t="s">
        <v>400</v>
      </c>
      <c r="C105" s="32"/>
      <c r="D105" s="75"/>
      <c r="E105" s="75" t="s">
        <v>399</v>
      </c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spans="1:26" ht="24.95" customHeight="1">
      <c r="A106" s="28" t="s">
        <v>103</v>
      </c>
      <c r="B106" s="29" t="s">
        <v>401</v>
      </c>
      <c r="C106" s="32" t="s">
        <v>402</v>
      </c>
      <c r="D106" s="75"/>
      <c r="E106" s="75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spans="1:26" ht="24.95" customHeight="1">
      <c r="A107" s="28" t="s">
        <v>403</v>
      </c>
      <c r="B107" s="29" t="s">
        <v>404</v>
      </c>
      <c r="C107" s="32" t="s">
        <v>405</v>
      </c>
      <c r="D107" s="75"/>
      <c r="E107" s="75" t="s">
        <v>406</v>
      </c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spans="1:26" ht="24.95" customHeight="1">
      <c r="A108" s="28" t="s">
        <v>103</v>
      </c>
      <c r="B108" s="29" t="s">
        <v>407</v>
      </c>
      <c r="C108" s="74" t="s">
        <v>408</v>
      </c>
      <c r="D108" s="75"/>
      <c r="E108" s="75" t="s">
        <v>122</v>
      </c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spans="1:26" ht="24.95" customHeight="1">
      <c r="A109" s="22" t="s">
        <v>134</v>
      </c>
      <c r="B109" s="23" t="s">
        <v>409</v>
      </c>
      <c r="C109" s="72" t="s">
        <v>410</v>
      </c>
      <c r="D109" s="75"/>
      <c r="E109" s="71" t="s">
        <v>411</v>
      </c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spans="1:26" ht="24.95" customHeight="1">
      <c r="A110" s="28" t="s">
        <v>412</v>
      </c>
      <c r="B110" s="23" t="s">
        <v>413</v>
      </c>
      <c r="C110" s="32" t="s">
        <v>414</v>
      </c>
      <c r="D110" s="75"/>
      <c r="E110" s="75" t="s">
        <v>415</v>
      </c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spans="1:26" ht="24.95" customHeight="1">
      <c r="A111" s="28" t="s">
        <v>87</v>
      </c>
      <c r="B111" s="29" t="s">
        <v>416</v>
      </c>
      <c r="C111" s="74" t="s">
        <v>417</v>
      </c>
      <c r="D111" s="75"/>
      <c r="E111" s="75" t="s">
        <v>418</v>
      </c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spans="1:26" ht="24.95" customHeight="1">
      <c r="A112" s="28" t="s">
        <v>127</v>
      </c>
      <c r="B112" s="29" t="s">
        <v>419</v>
      </c>
      <c r="C112" s="74" t="s">
        <v>420</v>
      </c>
      <c r="D112" s="75"/>
      <c r="E112" s="75" t="s">
        <v>421</v>
      </c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spans="1:26" ht="24.95" customHeight="1">
      <c r="A113" s="28" t="s">
        <v>127</v>
      </c>
      <c r="B113" s="29" t="s">
        <v>422</v>
      </c>
      <c r="C113" s="32" t="s">
        <v>423</v>
      </c>
      <c r="D113" s="75"/>
      <c r="E113" s="75" t="s">
        <v>421</v>
      </c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spans="1:26" ht="24.95" customHeight="1">
      <c r="A114" s="28" t="s">
        <v>424</v>
      </c>
      <c r="B114" s="29" t="s">
        <v>425</v>
      </c>
      <c r="C114" s="32" t="s">
        <v>426</v>
      </c>
      <c r="D114" s="75"/>
      <c r="E114" s="75" t="s">
        <v>427</v>
      </c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spans="1:26" ht="24.95" customHeight="1">
      <c r="A115" s="28" t="s">
        <v>375</v>
      </c>
      <c r="B115" s="29" t="s">
        <v>428</v>
      </c>
      <c r="C115" s="70" t="s">
        <v>429</v>
      </c>
      <c r="D115" s="75"/>
      <c r="E115" s="75" t="s">
        <v>430</v>
      </c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spans="1:26" ht="24.95" customHeight="1">
      <c r="A116" s="28" t="s">
        <v>87</v>
      </c>
      <c r="B116" s="29" t="s">
        <v>431</v>
      </c>
      <c r="C116" s="32" t="s">
        <v>432</v>
      </c>
      <c r="D116" s="75"/>
      <c r="E116" s="75" t="s">
        <v>433</v>
      </c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spans="1:26" ht="24.95" customHeight="1">
      <c r="A117" s="28" t="s">
        <v>292</v>
      </c>
      <c r="B117" s="23" t="s">
        <v>434</v>
      </c>
      <c r="C117" s="32" t="s">
        <v>298</v>
      </c>
      <c r="D117" s="75"/>
      <c r="E117" s="75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spans="1:26" ht="24.95" customHeight="1">
      <c r="A118" s="28" t="s">
        <v>279</v>
      </c>
      <c r="B118" s="29" t="s">
        <v>435</v>
      </c>
      <c r="C118" s="69" t="s">
        <v>436</v>
      </c>
      <c r="D118" s="75"/>
      <c r="E118" s="75" t="s">
        <v>437</v>
      </c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spans="1:26" ht="24.95" customHeight="1">
      <c r="A119" s="28" t="s">
        <v>103</v>
      </c>
      <c r="B119" s="29" t="s">
        <v>438</v>
      </c>
      <c r="C119" s="32" t="s">
        <v>402</v>
      </c>
      <c r="D119" s="75"/>
      <c r="E119" s="75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spans="1:26" ht="24.95" customHeight="1">
      <c r="A120" s="22" t="s">
        <v>254</v>
      </c>
      <c r="B120" s="29" t="s">
        <v>439</v>
      </c>
      <c r="C120" s="32" t="s">
        <v>440</v>
      </c>
      <c r="D120" s="75"/>
      <c r="E120" s="75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spans="1:26" ht="24.95" customHeight="1">
      <c r="A121" s="28" t="s">
        <v>441</v>
      </c>
      <c r="B121" s="29" t="s">
        <v>442</v>
      </c>
      <c r="C121" s="32" t="s">
        <v>443</v>
      </c>
      <c r="D121" s="76"/>
      <c r="E121" s="75" t="s">
        <v>444</v>
      </c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spans="1:26" ht="24.95" customHeight="1">
      <c r="A122" s="28" t="s">
        <v>195</v>
      </c>
      <c r="B122" s="29" t="s">
        <v>445</v>
      </c>
      <c r="C122" s="32" t="s">
        <v>217</v>
      </c>
      <c r="D122" s="75"/>
      <c r="E122" s="75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spans="1:26" ht="24.95" customHeight="1">
      <c r="A123" s="28" t="s">
        <v>446</v>
      </c>
      <c r="B123" s="29" t="s">
        <v>447</v>
      </c>
      <c r="C123" s="32" t="s">
        <v>448</v>
      </c>
      <c r="D123" s="75"/>
      <c r="E123" s="75" t="s">
        <v>449</v>
      </c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spans="1:26" ht="24.95" customHeight="1">
      <c r="A124" s="22" t="s">
        <v>450</v>
      </c>
      <c r="B124" s="23" t="s">
        <v>451</v>
      </c>
      <c r="C124" s="24"/>
      <c r="D124" s="25"/>
      <c r="E124" s="25"/>
    </row>
    <row r="125" spans="1:26" ht="24.95" customHeight="1">
      <c r="A125" s="22" t="s">
        <v>452</v>
      </c>
      <c r="B125" s="23" t="s">
        <v>453</v>
      </c>
      <c r="C125" s="24" t="s">
        <v>454</v>
      </c>
      <c r="D125" s="25"/>
      <c r="E125" s="25">
        <v>1085109801</v>
      </c>
    </row>
    <row r="126" spans="1:26" ht="24.95" customHeight="1">
      <c r="A126" s="22" t="s">
        <v>450</v>
      </c>
      <c r="B126" s="23" t="s">
        <v>455</v>
      </c>
      <c r="C126" s="24" t="s">
        <v>456</v>
      </c>
      <c r="D126" s="25"/>
      <c r="E126" s="25"/>
    </row>
    <row r="127" spans="1:26" ht="24.95" customHeight="1">
      <c r="A127" s="22" t="s">
        <v>457</v>
      </c>
      <c r="B127" s="23" t="s">
        <v>458</v>
      </c>
      <c r="C127" s="24" t="s">
        <v>459</v>
      </c>
      <c r="D127" s="25"/>
      <c r="E127" s="25"/>
    </row>
    <row r="128" spans="1:26" ht="24.95" customHeight="1">
      <c r="A128" s="22" t="s">
        <v>460</v>
      </c>
      <c r="B128" s="23" t="s">
        <v>461</v>
      </c>
      <c r="C128" s="24" t="s">
        <v>462</v>
      </c>
      <c r="D128" s="25"/>
      <c r="E128" s="25"/>
    </row>
    <row r="129" spans="1:5" ht="24.95" customHeight="1">
      <c r="A129" s="22" t="s">
        <v>463</v>
      </c>
      <c r="B129" s="23" t="s">
        <v>464</v>
      </c>
      <c r="C129" s="24" t="s">
        <v>465</v>
      </c>
      <c r="D129" s="25"/>
      <c r="E129" s="25"/>
    </row>
    <row r="130" spans="1:5" ht="24.95" customHeight="1">
      <c r="A130" s="22" t="s">
        <v>450</v>
      </c>
      <c r="B130" s="23" t="s">
        <v>466</v>
      </c>
      <c r="C130" s="24" t="s">
        <v>456</v>
      </c>
      <c r="D130" s="25"/>
      <c r="E130" s="25"/>
    </row>
    <row r="131" spans="1:5" ht="24.95" customHeight="1">
      <c r="A131" s="22" t="s">
        <v>467</v>
      </c>
      <c r="B131" s="23" t="s">
        <v>468</v>
      </c>
      <c r="C131" s="24" t="s">
        <v>469</v>
      </c>
      <c r="D131" s="25" t="s">
        <v>470</v>
      </c>
      <c r="E131" s="25">
        <v>1031370647</v>
      </c>
    </row>
    <row r="132" spans="1:5" ht="24.95" customHeight="1">
      <c r="A132" s="22" t="s">
        <v>471</v>
      </c>
      <c r="B132" s="23" t="s">
        <v>472</v>
      </c>
      <c r="C132" s="24"/>
      <c r="D132" s="25"/>
      <c r="E132" s="25"/>
    </row>
    <row r="133" spans="1:5" ht="24.95" customHeight="1">
      <c r="A133" s="22" t="s">
        <v>471</v>
      </c>
      <c r="B133" s="23" t="s">
        <v>473</v>
      </c>
      <c r="C133" s="24" t="s">
        <v>474</v>
      </c>
      <c r="D133" s="25"/>
      <c r="E133" s="25"/>
    </row>
    <row r="134" spans="1:5" ht="24.95" customHeight="1">
      <c r="A134" s="22" t="s">
        <v>475</v>
      </c>
      <c r="B134" s="23" t="s">
        <v>476</v>
      </c>
      <c r="C134" s="24" t="s">
        <v>477</v>
      </c>
      <c r="D134" s="25" t="s">
        <v>478</v>
      </c>
      <c r="E134" s="31">
        <v>1052508410</v>
      </c>
    </row>
    <row r="135" spans="1:5" ht="24.95" customHeight="1">
      <c r="A135" s="22" t="s">
        <v>479</v>
      </c>
      <c r="B135" s="23" t="s">
        <v>480</v>
      </c>
      <c r="C135" s="24" t="s">
        <v>481</v>
      </c>
      <c r="D135" s="25"/>
      <c r="E135" s="25" t="s">
        <v>482</v>
      </c>
    </row>
    <row r="136" spans="1:5" ht="24.95" customHeight="1">
      <c r="A136" s="22" t="s">
        <v>483</v>
      </c>
      <c r="B136" s="23" t="s">
        <v>484</v>
      </c>
      <c r="C136" s="24" t="s">
        <v>485</v>
      </c>
      <c r="D136" s="25"/>
      <c r="E136" s="25" t="s">
        <v>486</v>
      </c>
    </row>
    <row r="137" spans="1:5" ht="24.95" customHeight="1">
      <c r="A137" s="22" t="s">
        <v>487</v>
      </c>
      <c r="B137" s="23" t="s">
        <v>488</v>
      </c>
      <c r="C137" s="24" t="s">
        <v>489</v>
      </c>
      <c r="D137" s="25"/>
      <c r="E137" s="25" t="s">
        <v>490</v>
      </c>
    </row>
    <row r="138" spans="1:5" ht="24.95" customHeight="1">
      <c r="A138" s="22" t="s">
        <v>57</v>
      </c>
      <c r="B138" s="23" t="s">
        <v>491</v>
      </c>
      <c r="C138" s="24" t="s">
        <v>492</v>
      </c>
      <c r="D138" s="25" t="s">
        <v>493</v>
      </c>
      <c r="E138" s="25" t="s">
        <v>494</v>
      </c>
    </row>
    <row r="139" spans="1:5" ht="24.95" customHeight="1">
      <c r="A139" s="22" t="s">
        <v>495</v>
      </c>
      <c r="B139" s="23" t="s">
        <v>496</v>
      </c>
      <c r="C139" s="17" t="s">
        <v>497</v>
      </c>
      <c r="D139" s="25"/>
      <c r="E139" s="25" t="s">
        <v>498</v>
      </c>
    </row>
    <row r="140" spans="1:5" ht="24.95" customHeight="1">
      <c r="A140" s="22" t="s">
        <v>499</v>
      </c>
      <c r="B140" s="23" t="s">
        <v>500</v>
      </c>
      <c r="C140" s="24" t="s">
        <v>501</v>
      </c>
      <c r="D140" s="25"/>
      <c r="E140" s="25" t="s">
        <v>502</v>
      </c>
    </row>
    <row r="141" spans="1:5" ht="24.95" customHeight="1">
      <c r="A141" s="22" t="s">
        <v>457</v>
      </c>
      <c r="B141" s="23" t="s">
        <v>503</v>
      </c>
      <c r="C141" s="24" t="s">
        <v>504</v>
      </c>
      <c r="D141" s="25" t="s">
        <v>505</v>
      </c>
      <c r="E141" s="25">
        <v>1050232904</v>
      </c>
    </row>
    <row r="142" spans="1:5" ht="24.95" customHeight="1">
      <c r="A142" s="22" t="s">
        <v>475</v>
      </c>
      <c r="B142" s="23" t="s">
        <v>506</v>
      </c>
      <c r="C142" s="24" t="s">
        <v>507</v>
      </c>
      <c r="D142" s="25"/>
      <c r="E142" s="25" t="s">
        <v>508</v>
      </c>
    </row>
    <row r="143" spans="1:5" ht="24.95" customHeight="1">
      <c r="A143" s="22" t="s">
        <v>51</v>
      </c>
      <c r="B143" s="23" t="s">
        <v>509</v>
      </c>
      <c r="C143" s="24" t="s">
        <v>510</v>
      </c>
      <c r="D143" s="25"/>
      <c r="E143" s="25" t="s">
        <v>511</v>
      </c>
    </row>
    <row r="144" spans="1:5" ht="24.95" customHeight="1">
      <c r="A144" s="22" t="s">
        <v>487</v>
      </c>
      <c r="B144" s="23" t="s">
        <v>512</v>
      </c>
      <c r="C144" s="24" t="s">
        <v>513</v>
      </c>
      <c r="D144" s="25"/>
      <c r="E144" s="25" t="s">
        <v>514</v>
      </c>
    </row>
    <row r="145" spans="1:5" ht="24.95" customHeight="1">
      <c r="A145" s="22" t="s">
        <v>61</v>
      </c>
      <c r="B145" s="23" t="s">
        <v>515</v>
      </c>
      <c r="C145" s="80" t="s">
        <v>516</v>
      </c>
      <c r="D145" s="25"/>
      <c r="E145" s="25" t="s">
        <v>517</v>
      </c>
    </row>
    <row r="146" spans="1:5" ht="24.95" customHeight="1">
      <c r="A146" s="22" t="s">
        <v>518</v>
      </c>
      <c r="B146" s="23" t="s">
        <v>519</v>
      </c>
      <c r="C146" s="24" t="s">
        <v>520</v>
      </c>
      <c r="D146" s="25"/>
      <c r="E146" s="31" t="s">
        <v>521</v>
      </c>
    </row>
    <row r="147" spans="1:5" ht="24.95" customHeight="1">
      <c r="A147" s="22" t="s">
        <v>522</v>
      </c>
      <c r="B147" s="23" t="s">
        <v>523</v>
      </c>
      <c r="C147" s="24" t="s">
        <v>524</v>
      </c>
      <c r="D147" s="25"/>
      <c r="E147" s="25" t="s">
        <v>525</v>
      </c>
    </row>
    <row r="148" spans="1:5" ht="24.95" customHeight="1">
      <c r="A148" s="22" t="s">
        <v>526</v>
      </c>
      <c r="B148" s="23" t="s">
        <v>527</v>
      </c>
      <c r="C148" s="24" t="s">
        <v>528</v>
      </c>
      <c r="D148" s="25"/>
      <c r="E148" s="25" t="s">
        <v>529</v>
      </c>
    </row>
    <row r="149" spans="1:5" ht="24.95" customHeight="1">
      <c r="A149" s="22" t="s">
        <v>53</v>
      </c>
      <c r="B149" s="23" t="s">
        <v>530</v>
      </c>
      <c r="C149" s="24" t="s">
        <v>531</v>
      </c>
      <c r="D149" s="25"/>
      <c r="E149" s="25" t="s">
        <v>532</v>
      </c>
    </row>
    <row r="150" spans="1:5" ht="24.95" customHeight="1">
      <c r="A150" s="22" t="s">
        <v>533</v>
      </c>
      <c r="B150" s="23" t="s">
        <v>534</v>
      </c>
      <c r="C150" s="24" t="s">
        <v>535</v>
      </c>
      <c r="D150" s="25"/>
      <c r="E150" s="25" t="s">
        <v>536</v>
      </c>
    </row>
    <row r="151" spans="1:5" ht="24.95" customHeight="1">
      <c r="A151" s="22" t="s">
        <v>457</v>
      </c>
      <c r="B151" s="23" t="s">
        <v>537</v>
      </c>
      <c r="C151" s="24" t="s">
        <v>538</v>
      </c>
      <c r="D151" s="25"/>
      <c r="E151" s="25"/>
    </row>
    <row r="152" spans="1:5" ht="24.95" customHeight="1">
      <c r="A152" s="22" t="s">
        <v>539</v>
      </c>
      <c r="B152" s="23" t="s">
        <v>539</v>
      </c>
      <c r="C152" s="24" t="s">
        <v>540</v>
      </c>
      <c r="D152" s="25"/>
      <c r="E152" s="25">
        <v>1035583227</v>
      </c>
    </row>
    <row r="153" spans="1:5" ht="24.95" customHeight="1">
      <c r="A153" s="22" t="s">
        <v>541</v>
      </c>
      <c r="B153" s="23" t="s">
        <v>542</v>
      </c>
      <c r="C153" s="24" t="s">
        <v>543</v>
      </c>
      <c r="D153" s="25" t="s">
        <v>544</v>
      </c>
      <c r="E153" s="25">
        <v>1088835565</v>
      </c>
    </row>
    <row r="154" spans="1:5" ht="24.95" customHeight="1">
      <c r="A154" s="22" t="s">
        <v>545</v>
      </c>
      <c r="B154" s="23" t="s">
        <v>546</v>
      </c>
      <c r="C154" s="24" t="s">
        <v>547</v>
      </c>
      <c r="D154" s="25" t="s">
        <v>548</v>
      </c>
      <c r="E154" s="25">
        <v>1048442839</v>
      </c>
    </row>
    <row r="155" spans="1:5" ht="24.95" customHeight="1">
      <c r="A155" s="22" t="s">
        <v>549</v>
      </c>
      <c r="B155" s="23" t="s">
        <v>550</v>
      </c>
      <c r="C155" s="24" t="s">
        <v>551</v>
      </c>
      <c r="D155" s="25"/>
      <c r="E155" s="25" t="s">
        <v>552</v>
      </c>
    </row>
    <row r="156" spans="1:5" ht="24.95" customHeight="1">
      <c r="A156" s="22" t="s">
        <v>53</v>
      </c>
      <c r="B156" s="23" t="s">
        <v>553</v>
      </c>
      <c r="C156" s="24" t="s">
        <v>554</v>
      </c>
      <c r="D156" s="25" t="s">
        <v>555</v>
      </c>
      <c r="E156" s="25" t="s">
        <v>556</v>
      </c>
    </row>
    <row r="157" spans="1:5" ht="24.95" customHeight="1">
      <c r="A157" s="22" t="s">
        <v>557</v>
      </c>
      <c r="B157" s="23" t="s">
        <v>558</v>
      </c>
      <c r="C157" s="24" t="s">
        <v>559</v>
      </c>
      <c r="D157" s="25" t="s">
        <v>560</v>
      </c>
      <c r="E157" s="25" t="s">
        <v>561</v>
      </c>
    </row>
    <row r="158" spans="1:5" ht="24.95" customHeight="1">
      <c r="A158" s="22" t="s">
        <v>457</v>
      </c>
      <c r="B158" s="23" t="s">
        <v>562</v>
      </c>
      <c r="C158" s="24" t="s">
        <v>563</v>
      </c>
      <c r="D158" s="25" t="s">
        <v>564</v>
      </c>
      <c r="E158" s="25" t="s">
        <v>565</v>
      </c>
    </row>
    <row r="159" spans="1:5" ht="24.95" customHeight="1">
      <c r="A159" s="22" t="s">
        <v>566</v>
      </c>
      <c r="B159" s="23" t="s">
        <v>567</v>
      </c>
      <c r="C159" s="24" t="s">
        <v>568</v>
      </c>
      <c r="D159" s="25" t="s">
        <v>569</v>
      </c>
      <c r="E159" s="25" t="s">
        <v>570</v>
      </c>
    </row>
    <row r="160" spans="1:5" ht="24.95" customHeight="1">
      <c r="A160" s="22"/>
      <c r="B160" s="23"/>
      <c r="C160" s="24"/>
      <c r="D160" s="25"/>
      <c r="E160" s="25"/>
    </row>
    <row r="161" spans="1:5" ht="24.95" customHeight="1">
      <c r="A161" s="22"/>
      <c r="B161" s="23"/>
      <c r="C161" s="24"/>
      <c r="D161" s="25"/>
      <c r="E161" s="25"/>
    </row>
    <row r="162" spans="1:5" ht="24.95" customHeight="1">
      <c r="A162" s="22"/>
      <c r="B162" s="23"/>
      <c r="C162" s="24"/>
      <c r="D162" s="25"/>
      <c r="E162" s="25"/>
    </row>
    <row r="163" spans="1:5" ht="24.95" customHeight="1">
      <c r="A163" s="22"/>
      <c r="B163" s="23"/>
      <c r="C163" s="24"/>
      <c r="D163" s="25"/>
      <c r="E163" s="25"/>
    </row>
    <row r="164" spans="1:5" ht="24.95" customHeight="1">
      <c r="A164" s="22"/>
      <c r="B164" s="23"/>
      <c r="C164" s="24"/>
      <c r="D164" s="25"/>
      <c r="E164" s="25"/>
    </row>
    <row r="165" spans="1:5" ht="24.95" customHeight="1">
      <c r="A165" s="22"/>
      <c r="B165" s="23"/>
      <c r="C165" s="24"/>
      <c r="D165" s="25"/>
      <c r="E165" s="25"/>
    </row>
    <row r="166" spans="1:5" ht="24.95" customHeight="1">
      <c r="A166" s="22"/>
      <c r="B166" s="23"/>
      <c r="C166" s="24"/>
      <c r="D166" s="25"/>
      <c r="E166" s="25"/>
    </row>
    <row r="167" spans="1:5" ht="24.95" customHeight="1">
      <c r="A167" s="22"/>
      <c r="B167" s="23"/>
      <c r="C167" s="24"/>
      <c r="D167" s="25"/>
      <c r="E167" s="25"/>
    </row>
    <row r="168" spans="1:5" ht="24.95" customHeight="1">
      <c r="A168" s="22"/>
      <c r="B168" s="23"/>
      <c r="C168" s="24"/>
      <c r="D168" s="25"/>
      <c r="E168" s="25"/>
    </row>
    <row r="169" spans="1:5" ht="24.95" customHeight="1">
      <c r="A169" s="22"/>
      <c r="B169" s="23"/>
      <c r="C169" s="24"/>
      <c r="D169" s="25"/>
      <c r="E169" s="25"/>
    </row>
    <row r="170" spans="1:5" ht="24.95" customHeight="1">
      <c r="A170" s="22"/>
      <c r="B170" s="23"/>
      <c r="C170" s="24"/>
      <c r="D170" s="25"/>
      <c r="E170" s="25"/>
    </row>
    <row r="171" spans="1:5" ht="24.95" customHeight="1">
      <c r="A171" s="22"/>
      <c r="B171" s="23"/>
      <c r="C171" s="24"/>
      <c r="D171" s="25"/>
      <c r="E171" s="25"/>
    </row>
    <row r="172" spans="1:5" ht="24.95" customHeight="1">
      <c r="A172" s="22"/>
      <c r="B172" s="23"/>
      <c r="C172" s="24"/>
      <c r="D172" s="25"/>
      <c r="E172" s="25"/>
    </row>
    <row r="173" spans="1:5" ht="24.95" customHeight="1">
      <c r="A173" s="22"/>
      <c r="B173" s="23"/>
      <c r="C173" s="24"/>
      <c r="D173" s="25"/>
      <c r="E173" s="25"/>
    </row>
    <row r="174" spans="1:5" ht="24.95" customHeight="1">
      <c r="A174" s="22"/>
      <c r="B174" s="23"/>
      <c r="C174" s="24"/>
      <c r="D174" s="25"/>
      <c r="E174" s="25"/>
    </row>
    <row r="175" spans="1:5" ht="24.95" customHeight="1">
      <c r="A175" s="22"/>
      <c r="B175" s="23"/>
      <c r="C175" s="24"/>
      <c r="D175" s="25"/>
      <c r="E175" s="25"/>
    </row>
    <row r="176" spans="1:5" ht="24.95" customHeight="1">
      <c r="A176" s="22"/>
      <c r="B176" s="23"/>
      <c r="C176" s="24"/>
      <c r="D176" s="25"/>
      <c r="E176" s="25"/>
    </row>
    <row r="177" spans="1:5" ht="24.95" customHeight="1">
      <c r="A177" s="22"/>
      <c r="B177" s="23"/>
      <c r="C177" s="24"/>
      <c r="D177" s="25"/>
      <c r="E177" s="25"/>
    </row>
    <row r="178" spans="1:5" ht="24.95" customHeight="1">
      <c r="A178" s="22"/>
      <c r="B178" s="23"/>
      <c r="C178" s="24"/>
      <c r="D178" s="25"/>
      <c r="E178" s="25"/>
    </row>
    <row r="179" spans="1:5" ht="24.95" customHeight="1">
      <c r="A179" s="22"/>
      <c r="B179" s="23"/>
      <c r="C179" s="24"/>
      <c r="D179" s="25"/>
      <c r="E179" s="25"/>
    </row>
    <row r="180" spans="1:5" ht="24.95" customHeight="1">
      <c r="A180" s="22"/>
      <c r="B180" s="23"/>
      <c r="C180" s="24"/>
      <c r="D180" s="25"/>
      <c r="E180" s="25"/>
    </row>
    <row r="181" spans="1:5" ht="24.95" customHeight="1">
      <c r="A181" s="22"/>
      <c r="B181" s="23"/>
      <c r="C181" s="24"/>
      <c r="D181" s="25"/>
      <c r="E181" s="25"/>
    </row>
    <row r="182" spans="1:5" ht="24.95" customHeight="1">
      <c r="A182" s="22"/>
      <c r="B182" s="23"/>
      <c r="C182" s="24"/>
      <c r="D182" s="25"/>
      <c r="E182" s="25"/>
    </row>
    <row r="183" spans="1:5" ht="24.95" customHeight="1">
      <c r="A183" s="22"/>
      <c r="B183" s="23"/>
      <c r="C183" s="24"/>
      <c r="D183" s="25"/>
      <c r="E183" s="25"/>
    </row>
    <row r="184" spans="1:5" ht="24.95" customHeight="1">
      <c r="A184" s="22"/>
      <c r="B184" s="23"/>
      <c r="C184" s="24"/>
      <c r="D184" s="25"/>
      <c r="E184" s="25"/>
    </row>
    <row r="185" spans="1:5" ht="24.95" customHeight="1">
      <c r="A185" s="22"/>
      <c r="B185" s="23"/>
      <c r="C185" s="24"/>
      <c r="D185" s="25"/>
      <c r="E185" s="25"/>
    </row>
    <row r="186" spans="1:5" ht="24.95" customHeight="1">
      <c r="A186" s="22"/>
      <c r="B186" s="23"/>
      <c r="C186" s="24"/>
      <c r="D186" s="25"/>
      <c r="E186" s="25"/>
    </row>
    <row r="187" spans="1:5" ht="24.95" customHeight="1">
      <c r="A187" s="22"/>
      <c r="B187" s="23"/>
      <c r="C187" s="24"/>
      <c r="D187" s="25"/>
      <c r="E187" s="25"/>
    </row>
    <row r="188" spans="1:5" ht="24.95" customHeight="1">
      <c r="A188" s="22"/>
      <c r="B188" s="23"/>
      <c r="C188" s="24"/>
      <c r="D188" s="25"/>
      <c r="E188" s="25"/>
    </row>
    <row r="189" spans="1:5" ht="24.95" customHeight="1">
      <c r="A189" s="22"/>
      <c r="B189" s="23"/>
      <c r="C189" s="24"/>
      <c r="D189" s="25"/>
      <c r="E189" s="25"/>
    </row>
    <row r="190" spans="1:5" ht="24.95" customHeight="1">
      <c r="A190" s="22"/>
      <c r="B190" s="23"/>
      <c r="C190" s="24"/>
      <c r="D190" s="25"/>
      <c r="E190" s="25"/>
    </row>
    <row r="191" spans="1:5" ht="24.95" customHeight="1">
      <c r="A191" s="22"/>
      <c r="B191" s="23"/>
      <c r="C191" s="24"/>
      <c r="D191" s="25"/>
      <c r="E191" s="25"/>
    </row>
    <row r="192" spans="1:5" ht="24.95" customHeight="1">
      <c r="A192" s="22"/>
      <c r="B192" s="23"/>
      <c r="C192" s="24"/>
      <c r="D192" s="25"/>
      <c r="E192" s="25"/>
    </row>
    <row r="193" spans="1:5" ht="24.95" customHeight="1">
      <c r="A193" s="22"/>
      <c r="B193" s="23"/>
      <c r="C193" s="24"/>
      <c r="D193" s="25"/>
      <c r="E193" s="25"/>
    </row>
    <row r="194" spans="1:5" ht="24.95" customHeight="1">
      <c r="A194" s="22"/>
      <c r="B194" s="23"/>
      <c r="C194" s="24"/>
      <c r="D194" s="25"/>
      <c r="E194" s="25"/>
    </row>
    <row r="195" spans="1:5" ht="24.95" customHeight="1">
      <c r="A195" s="22"/>
      <c r="B195" s="23"/>
      <c r="C195" s="24"/>
      <c r="D195" s="25"/>
      <c r="E195" s="25"/>
    </row>
    <row r="196" spans="1:5" ht="24.95" customHeight="1">
      <c r="A196" s="22"/>
      <c r="B196" s="23"/>
      <c r="C196" s="24"/>
      <c r="D196" s="25"/>
      <c r="E196" s="25"/>
    </row>
    <row r="197" spans="1:5" ht="24.95" customHeight="1">
      <c r="A197" s="22"/>
      <c r="B197" s="23"/>
      <c r="C197" s="24"/>
      <c r="D197" s="25"/>
      <c r="E197" s="25"/>
    </row>
    <row r="198" spans="1:5" ht="24.95" customHeight="1">
      <c r="A198" s="22"/>
      <c r="B198" s="23"/>
      <c r="C198" s="24"/>
      <c r="D198" s="25"/>
      <c r="E198" s="25"/>
    </row>
    <row r="199" spans="1:5" ht="24.95" customHeight="1">
      <c r="A199" s="22"/>
      <c r="B199" s="23"/>
      <c r="C199" s="24"/>
      <c r="D199" s="25"/>
      <c r="E199" s="25"/>
    </row>
    <row r="200" spans="1:5" ht="24.95" customHeight="1">
      <c r="A200" s="22"/>
      <c r="B200" s="23"/>
      <c r="C200" s="24"/>
      <c r="D200" s="25"/>
      <c r="E200" s="25"/>
    </row>
    <row r="201" spans="1:5" ht="24.95" customHeight="1">
      <c r="A201" s="22"/>
      <c r="B201" s="23"/>
      <c r="C201" s="24"/>
      <c r="D201" s="25"/>
      <c r="E201" s="25"/>
    </row>
    <row r="202" spans="1:5" ht="24.95" customHeight="1">
      <c r="A202" s="22"/>
      <c r="B202" s="23"/>
      <c r="C202" s="24"/>
      <c r="D202" s="25"/>
      <c r="E202" s="25"/>
    </row>
    <row r="203" spans="1:5" ht="24.95" customHeight="1">
      <c r="A203" s="22"/>
      <c r="B203" s="23"/>
      <c r="C203" s="24"/>
      <c r="D203" s="25"/>
      <c r="E203" s="25"/>
    </row>
    <row r="204" spans="1:5" ht="24.95" customHeight="1">
      <c r="A204" s="22"/>
      <c r="B204" s="23"/>
      <c r="C204" s="24"/>
      <c r="D204" s="25"/>
      <c r="E204" s="25"/>
    </row>
    <row r="205" spans="1:5" ht="24.95" customHeight="1">
      <c r="A205" s="22"/>
      <c r="B205" s="23"/>
      <c r="C205" s="24"/>
      <c r="D205" s="25"/>
      <c r="E205" s="25"/>
    </row>
    <row r="206" spans="1:5" ht="24.95" customHeight="1">
      <c r="A206" s="22"/>
      <c r="B206" s="23"/>
      <c r="C206" s="24"/>
      <c r="D206" s="25"/>
      <c r="E206" s="25"/>
    </row>
    <row r="207" spans="1:5" ht="24.95" customHeight="1">
      <c r="A207" s="22"/>
      <c r="B207" s="23"/>
      <c r="C207" s="24"/>
      <c r="D207" s="25"/>
      <c r="E207" s="25"/>
    </row>
    <row r="208" spans="1:5" ht="24.95" customHeight="1">
      <c r="A208" s="22"/>
      <c r="B208" s="23"/>
      <c r="C208" s="24"/>
      <c r="D208" s="25"/>
      <c r="E208" s="25"/>
    </row>
    <row r="209" spans="1:5" ht="24.95" customHeight="1">
      <c r="A209" s="22"/>
      <c r="B209" s="23"/>
      <c r="C209" s="24"/>
      <c r="D209" s="25"/>
      <c r="E209" s="25"/>
    </row>
    <row r="210" spans="1:5" ht="24.95" customHeight="1">
      <c r="A210" s="22"/>
      <c r="B210" s="23"/>
      <c r="C210" s="24"/>
      <c r="D210" s="25"/>
      <c r="E210" s="25"/>
    </row>
    <row r="211" spans="1:5" ht="24.95" customHeight="1">
      <c r="A211" s="22"/>
      <c r="B211" s="23"/>
      <c r="C211" s="24"/>
      <c r="D211" s="25"/>
      <c r="E211" s="25"/>
    </row>
    <row r="212" spans="1:5" ht="24.95" customHeight="1">
      <c r="A212" s="22"/>
      <c r="B212" s="23"/>
      <c r="C212" s="24"/>
      <c r="D212" s="25"/>
      <c r="E212" s="25"/>
    </row>
    <row r="213" spans="1:5" ht="24.95" customHeight="1">
      <c r="A213" s="22"/>
      <c r="B213" s="23"/>
      <c r="C213" s="24"/>
      <c r="D213" s="25"/>
      <c r="E213" s="25"/>
    </row>
    <row r="214" spans="1:5" ht="24.95" customHeight="1">
      <c r="A214" s="22"/>
      <c r="B214" s="23"/>
      <c r="C214" s="24"/>
      <c r="D214" s="25"/>
      <c r="E214" s="25"/>
    </row>
    <row r="215" spans="1:5" ht="24.95" customHeight="1">
      <c r="A215" s="22"/>
      <c r="B215" s="23"/>
      <c r="C215" s="24"/>
      <c r="D215" s="25"/>
      <c r="E215" s="25"/>
    </row>
    <row r="216" spans="1:5" ht="24.95" customHeight="1">
      <c r="A216" s="22"/>
      <c r="B216" s="23"/>
      <c r="C216" s="24"/>
      <c r="D216" s="25"/>
      <c r="E216" s="25"/>
    </row>
    <row r="217" spans="1:5" ht="24.95" customHeight="1">
      <c r="A217" s="22"/>
      <c r="B217" s="23"/>
      <c r="C217" s="24"/>
      <c r="D217" s="25"/>
      <c r="E217" s="25"/>
    </row>
    <row r="218" spans="1:5" ht="24.95" customHeight="1">
      <c r="A218" s="22"/>
      <c r="B218" s="23"/>
      <c r="C218" s="24"/>
      <c r="D218" s="25"/>
      <c r="E218" s="25"/>
    </row>
    <row r="219" spans="1:5" ht="24.95" customHeight="1">
      <c r="A219" s="22"/>
      <c r="B219" s="23"/>
      <c r="C219" s="24"/>
      <c r="D219" s="25"/>
      <c r="E219" s="25"/>
    </row>
    <row r="220" spans="1:5" ht="24.95" customHeight="1">
      <c r="A220" s="22"/>
      <c r="B220" s="23"/>
      <c r="C220" s="24"/>
      <c r="D220" s="25"/>
      <c r="E220" s="25"/>
    </row>
    <row r="221" spans="1:5" ht="24.95" customHeight="1">
      <c r="A221" s="22"/>
      <c r="B221" s="23"/>
      <c r="C221" s="24"/>
      <c r="D221" s="25"/>
      <c r="E221" s="25"/>
    </row>
    <row r="222" spans="1:5" ht="24.95" customHeight="1">
      <c r="A222" s="22"/>
      <c r="B222" s="23"/>
      <c r="C222" s="24"/>
      <c r="D222" s="25"/>
      <c r="E222" s="25"/>
    </row>
    <row r="223" spans="1:5" ht="24.95" customHeight="1">
      <c r="A223" s="22"/>
      <c r="B223" s="23"/>
      <c r="C223" s="24"/>
      <c r="D223" s="25"/>
      <c r="E223" s="25"/>
    </row>
    <row r="224" spans="1:5" ht="24.95" customHeight="1">
      <c r="A224" s="22"/>
      <c r="B224" s="23"/>
      <c r="C224" s="24"/>
      <c r="D224" s="25"/>
      <c r="E224" s="25"/>
    </row>
    <row r="225" spans="1:5" ht="24.95" customHeight="1">
      <c r="A225" s="22"/>
      <c r="B225" s="23"/>
      <c r="C225" s="24"/>
      <c r="D225" s="25"/>
      <c r="E225" s="25"/>
    </row>
    <row r="226" spans="1:5" ht="24.95" customHeight="1">
      <c r="A226" s="22"/>
      <c r="B226" s="23"/>
      <c r="C226" s="24"/>
      <c r="D226" s="25"/>
      <c r="E226" s="25"/>
    </row>
    <row r="227" spans="1:5" ht="24.95" customHeight="1">
      <c r="A227" s="22"/>
      <c r="B227" s="23"/>
      <c r="C227" s="24"/>
      <c r="D227" s="25"/>
      <c r="E227" s="25"/>
    </row>
    <row r="228" spans="1:5" ht="24.95" customHeight="1">
      <c r="A228" s="22"/>
      <c r="B228" s="23"/>
      <c r="C228" s="24"/>
      <c r="D228" s="25"/>
      <c r="E228" s="25"/>
    </row>
    <row r="229" spans="1:5" ht="24.95" customHeight="1">
      <c r="A229" s="22"/>
      <c r="B229" s="23"/>
      <c r="C229" s="24"/>
      <c r="D229" s="25"/>
      <c r="E229" s="25"/>
    </row>
    <row r="230" spans="1:5" ht="24.95" customHeight="1">
      <c r="A230" s="22"/>
      <c r="B230" s="23"/>
      <c r="C230" s="24"/>
      <c r="D230" s="25"/>
      <c r="E230" s="25"/>
    </row>
    <row r="231" spans="1:5" ht="24.95" customHeight="1">
      <c r="A231" s="22"/>
      <c r="B231" s="23"/>
      <c r="C231" s="24"/>
      <c r="D231" s="25"/>
      <c r="E231" s="25"/>
    </row>
    <row r="232" spans="1:5" ht="24.95" customHeight="1">
      <c r="A232" s="22"/>
      <c r="B232" s="23"/>
      <c r="C232" s="24"/>
      <c r="D232" s="25"/>
      <c r="E232" s="25"/>
    </row>
    <row r="233" spans="1:5" ht="24.95" customHeight="1">
      <c r="A233" s="22"/>
      <c r="B233" s="23"/>
      <c r="C233" s="24"/>
      <c r="D233" s="25"/>
      <c r="E233" s="25"/>
    </row>
    <row r="234" spans="1:5" ht="24.95" customHeight="1">
      <c r="A234" s="22"/>
      <c r="B234" s="23"/>
      <c r="C234" s="24"/>
      <c r="D234" s="25"/>
      <c r="E234" s="25"/>
    </row>
    <row r="235" spans="1:5" ht="24.95" customHeight="1">
      <c r="A235" s="22"/>
      <c r="B235" s="23"/>
      <c r="C235" s="24"/>
      <c r="D235" s="25"/>
      <c r="E235" s="25"/>
    </row>
    <row r="236" spans="1:5" ht="24.95" customHeight="1">
      <c r="A236" s="22"/>
      <c r="B236" s="23"/>
      <c r="C236" s="24"/>
      <c r="D236" s="25"/>
      <c r="E236" s="25"/>
    </row>
    <row r="237" spans="1:5" ht="24.95" customHeight="1">
      <c r="A237" s="22"/>
      <c r="B237" s="23"/>
      <c r="C237" s="24"/>
      <c r="D237" s="25"/>
      <c r="E237" s="25"/>
    </row>
    <row r="238" spans="1:5" ht="24.95" customHeight="1">
      <c r="A238" s="22"/>
      <c r="B238" s="23"/>
      <c r="C238" s="24"/>
      <c r="D238" s="25"/>
      <c r="E238" s="25"/>
    </row>
    <row r="239" spans="1:5" ht="24.95" customHeight="1">
      <c r="A239" s="22"/>
      <c r="B239" s="23"/>
      <c r="C239" s="24"/>
      <c r="D239" s="25"/>
      <c r="E239" s="25"/>
    </row>
    <row r="240" spans="1:5" ht="24.95" customHeight="1">
      <c r="A240" s="22"/>
      <c r="B240" s="23"/>
      <c r="C240" s="24"/>
      <c r="D240" s="25"/>
      <c r="E240" s="25"/>
    </row>
    <row r="241" spans="1:5" ht="24.95" customHeight="1">
      <c r="A241" s="22"/>
      <c r="B241" s="23"/>
      <c r="C241" s="24"/>
      <c r="D241" s="25"/>
      <c r="E241" s="25"/>
    </row>
    <row r="242" spans="1:5" ht="24.95" customHeight="1">
      <c r="A242" s="22"/>
      <c r="B242" s="23"/>
      <c r="C242" s="24"/>
      <c r="D242" s="25"/>
      <c r="E242" s="25"/>
    </row>
    <row r="243" spans="1:5" ht="24.95" customHeight="1">
      <c r="A243" s="22"/>
      <c r="B243" s="23"/>
      <c r="C243" s="24"/>
      <c r="D243" s="25"/>
      <c r="E243" s="25"/>
    </row>
    <row r="244" spans="1:5" ht="24.95" customHeight="1">
      <c r="A244" s="22"/>
      <c r="B244" s="23"/>
      <c r="C244" s="24"/>
      <c r="D244" s="25"/>
      <c r="E244" s="25"/>
    </row>
    <row r="245" spans="1:5" ht="24.95" customHeight="1" thickBot="1">
      <c r="A245" s="22"/>
      <c r="B245" s="27"/>
      <c r="C245" s="24"/>
      <c r="D245" s="25"/>
      <c r="E245" s="25"/>
    </row>
  </sheetData>
  <sortState xmlns:xlrd2="http://schemas.microsoft.com/office/spreadsheetml/2017/richdata2" ref="A2:E63">
    <sortCondition ref="A2:A63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M10"/>
  <sheetViews>
    <sheetView workbookViewId="0">
      <selection activeCell="C1" sqref="C1"/>
    </sheetView>
  </sheetViews>
  <sheetFormatPr defaultColWidth="10.625" defaultRowHeight="24.95" customHeight="1"/>
  <cols>
    <col min="1" max="16384" width="10.625" style="1"/>
  </cols>
  <sheetData>
    <row r="4" spans="2:13" ht="24.95" customHeight="1">
      <c r="B4" s="2"/>
      <c r="C4" s="3">
        <v>8</v>
      </c>
      <c r="D4" s="3">
        <v>9</v>
      </c>
      <c r="E4" s="3">
        <v>10</v>
      </c>
      <c r="F4" s="3">
        <v>12</v>
      </c>
      <c r="G4" s="3">
        <v>14</v>
      </c>
      <c r="H4" s="3">
        <v>16</v>
      </c>
      <c r="I4" s="3">
        <v>18</v>
      </c>
      <c r="J4" s="3">
        <v>20</v>
      </c>
      <c r="K4" s="3">
        <v>22</v>
      </c>
      <c r="L4" s="3"/>
      <c r="M4" s="3">
        <v>16</v>
      </c>
    </row>
    <row r="5" spans="2:13" ht="24.95" customHeight="1">
      <c r="B5" s="4">
        <v>5</v>
      </c>
      <c r="C5" s="5"/>
      <c r="D5" s="5"/>
      <c r="E5" s="6">
        <f>+B5/E4</f>
        <v>0.5</v>
      </c>
      <c r="F5" s="7">
        <f>+B5/F4</f>
        <v>0.41666666666666669</v>
      </c>
      <c r="G5" s="8">
        <f>+B5/G4</f>
        <v>0.35714285714285715</v>
      </c>
      <c r="H5" s="9">
        <f>+B5/H4</f>
        <v>0.3125</v>
      </c>
      <c r="I5" s="10">
        <f>+B5/I4</f>
        <v>0.27777777777777779</v>
      </c>
      <c r="J5" s="11">
        <f>+B5/J4</f>
        <v>0.25</v>
      </c>
      <c r="K5" s="5">
        <f>+B5/K4</f>
        <v>0.22727272727272727</v>
      </c>
      <c r="L5" s="2"/>
      <c r="M5" s="2"/>
    </row>
    <row r="6" spans="2:13" ht="24.95" customHeight="1">
      <c r="B6" s="4">
        <v>4</v>
      </c>
      <c r="C6" s="6">
        <f>B6/C4</f>
        <v>0.5</v>
      </c>
      <c r="D6" s="7">
        <f>+B6/D4</f>
        <v>0.44444444444444442</v>
      </c>
      <c r="E6" s="8">
        <f>+B6/E4</f>
        <v>0.4</v>
      </c>
      <c r="F6" s="9">
        <f>+B6/F4</f>
        <v>0.33333333333333331</v>
      </c>
      <c r="G6" s="10">
        <f>B6/G4</f>
        <v>0.2857142857142857</v>
      </c>
      <c r="H6" s="11">
        <f>B6/H4</f>
        <v>0.25</v>
      </c>
      <c r="I6" s="5">
        <f>B6/I4</f>
        <v>0.22222222222222221</v>
      </c>
      <c r="J6" s="5">
        <f>+B6/J4</f>
        <v>0.2</v>
      </c>
      <c r="K6" s="5">
        <f>+B6/K4</f>
        <v>0.18181818181818182</v>
      </c>
      <c r="L6" s="2"/>
      <c r="M6" s="2"/>
    </row>
    <row r="7" spans="2:13" ht="24.95" customHeight="1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2:13" ht="24.95" customHeight="1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2:13" ht="24.95" customHeight="1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2:13" ht="24.95" customHeigh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노성택</dc:creator>
  <cp:keywords/>
  <dc:description/>
  <cp:lastModifiedBy/>
  <cp:revision/>
  <dcterms:created xsi:type="dcterms:W3CDTF">2018-05-19T14:29:45Z</dcterms:created>
  <dcterms:modified xsi:type="dcterms:W3CDTF">2026-06-08T05:35:18Z</dcterms:modified>
  <cp:category/>
  <cp:contentStatus/>
</cp:coreProperties>
</file>