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ove1\OneDrive\바탕 화면\"/>
    </mc:Choice>
  </mc:AlternateContent>
  <xr:revisionPtr revIDLastSave="0" documentId="8_{41F31534-DA5B-4538-A97B-47A5695A6BB1}" xr6:coauthVersionLast="47" xr6:coauthVersionMax="47" xr10:uidLastSave="{00000000-0000-0000-0000-000000000000}"/>
  <bookViews>
    <workbookView xWindow="390" yWindow="390" windowWidth="21780" windowHeight="13290" xr2:uid="{00000000-000D-0000-FFFF-FFFF00000000}"/>
  </bookViews>
  <sheets>
    <sheet name="출고요청서" sheetId="1" r:id="rId1"/>
    <sheet name="가락" sheetId="2" r:id="rId2"/>
    <sheet name="Sheet1" sheetId="3" r:id="rId3"/>
  </sheets>
  <definedNames>
    <definedName name="_xlnm.Print_Area" localSheetId="0">출고요청서!$A$1:$U$59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8" i="1" l="1"/>
  <c r="O27" i="1"/>
  <c r="O26" i="1"/>
  <c r="N1" i="1"/>
  <c r="Q1" i="1"/>
  <c r="O2" i="1"/>
  <c r="O9" i="1"/>
  <c r="O10" i="1"/>
  <c r="O17" i="1"/>
  <c r="O18" i="1"/>
  <c r="O19" i="1"/>
  <c r="O20" i="1"/>
  <c r="O21" i="1"/>
  <c r="O22" i="1"/>
  <c r="O23" i="1"/>
  <c r="O24" i="1"/>
  <c r="O25" i="1"/>
  <c r="O29" i="1"/>
  <c r="N30" i="1"/>
  <c r="N32" i="1" s="1"/>
  <c r="N61" i="1" s="1"/>
  <c r="N63" i="1" s="1"/>
  <c r="N5" i="1" s="1"/>
  <c r="O33" i="1"/>
  <c r="Q33" i="1"/>
  <c r="R33" i="1"/>
  <c r="O34" i="1"/>
  <c r="O35" i="1"/>
  <c r="O36" i="1"/>
  <c r="Q36" i="1"/>
  <c r="R36" i="1"/>
  <c r="O37" i="1"/>
  <c r="Q37" i="1"/>
  <c r="R37" i="1"/>
  <c r="O38" i="1"/>
  <c r="Q38" i="1"/>
  <c r="R38" i="1"/>
  <c r="O39" i="1"/>
  <c r="Q39" i="1"/>
  <c r="R39" i="1"/>
  <c r="O40" i="1"/>
  <c r="O41" i="1"/>
  <c r="O42" i="1"/>
  <c r="O43" i="1"/>
  <c r="Q43" i="1"/>
  <c r="R43" i="1"/>
  <c r="O44" i="1"/>
  <c r="Q44" i="1"/>
  <c r="R44" i="1"/>
  <c r="O45" i="1"/>
  <c r="Q45" i="1"/>
  <c r="R45" i="1"/>
  <c r="O46" i="1"/>
  <c r="Q46" i="1"/>
  <c r="R46" i="1"/>
  <c r="O47" i="1"/>
  <c r="Q47" i="1"/>
  <c r="R47" i="1"/>
  <c r="O48" i="1"/>
  <c r="Q48" i="1"/>
  <c r="R48" i="1"/>
  <c r="O49" i="1"/>
  <c r="Q49" i="1"/>
  <c r="R49" i="1"/>
  <c r="O50" i="1"/>
  <c r="Q50" i="1"/>
  <c r="R50" i="1"/>
  <c r="O51" i="1"/>
  <c r="Q51" i="1"/>
  <c r="R51" i="1"/>
  <c r="O52" i="1"/>
  <c r="Q52" i="1"/>
  <c r="R52" i="1"/>
  <c r="O53" i="1"/>
  <c r="O54" i="1"/>
  <c r="Q54" i="1"/>
  <c r="R54" i="1"/>
  <c r="O55" i="1"/>
  <c r="O56" i="1"/>
  <c r="O57" i="1"/>
  <c r="N58" i="1"/>
  <c r="O58" i="1"/>
  <c r="N59" i="1"/>
  <c r="I31" i="1"/>
  <c r="I30" i="1"/>
  <c r="I32" i="1" s="1"/>
  <c r="J30" i="1"/>
  <c r="K30" i="1"/>
  <c r="K32" i="1" s="1"/>
  <c r="L30" i="1"/>
  <c r="M30" i="1"/>
  <c r="J31" i="1"/>
  <c r="K31" i="1"/>
  <c r="L31" i="1"/>
  <c r="M31" i="1"/>
  <c r="M32" i="1" s="1"/>
  <c r="J32" i="1"/>
  <c r="L32" i="1"/>
  <c r="E30" i="1"/>
  <c r="E59" i="1"/>
  <c r="F30" i="1"/>
  <c r="F59" i="1" s="1"/>
  <c r="G30" i="1"/>
  <c r="G59" i="1" s="1"/>
  <c r="H30" i="1"/>
  <c r="H59" i="1"/>
  <c r="Z50" i="1"/>
  <c r="Y50" i="1"/>
  <c r="X50" i="1"/>
  <c r="E31" i="1"/>
  <c r="E32" i="1" s="1"/>
  <c r="F31" i="1"/>
  <c r="G31" i="1"/>
  <c r="H31" i="1"/>
  <c r="S33" i="1"/>
  <c r="T33" i="1"/>
  <c r="U33" i="1"/>
  <c r="V33" i="1"/>
  <c r="W33" i="1"/>
  <c r="X33" i="1"/>
  <c r="Y33" i="1"/>
  <c r="Z33" i="1"/>
  <c r="S36" i="1"/>
  <c r="T36" i="1"/>
  <c r="U36" i="1"/>
  <c r="V36" i="1"/>
  <c r="W36" i="1"/>
  <c r="X36" i="1"/>
  <c r="Y36" i="1"/>
  <c r="Z36" i="1"/>
  <c r="S37" i="1"/>
  <c r="T37" i="1"/>
  <c r="U37" i="1"/>
  <c r="V37" i="1"/>
  <c r="W37" i="1"/>
  <c r="Y37" i="1"/>
  <c r="Z37" i="1"/>
  <c r="S38" i="1"/>
  <c r="T38" i="1"/>
  <c r="U38" i="1"/>
  <c r="V38" i="1"/>
  <c r="W38" i="1"/>
  <c r="X38" i="1"/>
  <c r="Y38" i="1"/>
  <c r="Z38" i="1"/>
  <c r="S39" i="1"/>
  <c r="T39" i="1"/>
  <c r="U39" i="1"/>
  <c r="V39" i="1"/>
  <c r="W39" i="1"/>
  <c r="X39" i="1"/>
  <c r="Y39" i="1"/>
  <c r="Z39" i="1"/>
  <c r="S43" i="1"/>
  <c r="T43" i="1"/>
  <c r="U43" i="1"/>
  <c r="V43" i="1"/>
  <c r="W43" i="1"/>
  <c r="X43" i="1"/>
  <c r="Y43" i="1"/>
  <c r="Z43" i="1"/>
  <c r="S44" i="1"/>
  <c r="T44" i="1"/>
  <c r="U44" i="1"/>
  <c r="V44" i="1"/>
  <c r="W44" i="1"/>
  <c r="X44" i="1"/>
  <c r="Y44" i="1"/>
  <c r="Z44" i="1"/>
  <c r="S45" i="1"/>
  <c r="T45" i="1"/>
  <c r="U45" i="1"/>
  <c r="V45" i="1"/>
  <c r="W45" i="1"/>
  <c r="X45" i="1"/>
  <c r="Y45" i="1"/>
  <c r="Z45" i="1"/>
  <c r="S46" i="1"/>
  <c r="T46" i="1"/>
  <c r="U46" i="1"/>
  <c r="V46" i="1"/>
  <c r="W46" i="1"/>
  <c r="X46" i="1"/>
  <c r="Y46" i="1"/>
  <c r="Z46" i="1"/>
  <c r="S47" i="1"/>
  <c r="T47" i="1"/>
  <c r="U47" i="1"/>
  <c r="V47" i="1"/>
  <c r="W47" i="1"/>
  <c r="X47" i="1"/>
  <c r="Y47" i="1"/>
  <c r="Z47" i="1"/>
  <c r="S48" i="1"/>
  <c r="T48" i="1"/>
  <c r="U48" i="1"/>
  <c r="V48" i="1"/>
  <c r="W48" i="1"/>
  <c r="X48" i="1"/>
  <c r="Y48" i="1"/>
  <c r="Z48" i="1"/>
  <c r="S49" i="1"/>
  <c r="T49" i="1"/>
  <c r="U49" i="1"/>
  <c r="V49" i="1"/>
  <c r="W49" i="1"/>
  <c r="X49" i="1"/>
  <c r="Y49" i="1"/>
  <c r="Z49" i="1"/>
  <c r="S50" i="1"/>
  <c r="T50" i="1"/>
  <c r="U50" i="1"/>
  <c r="V50" i="1"/>
  <c r="W50" i="1"/>
  <c r="S51" i="1"/>
  <c r="T51" i="1"/>
  <c r="U51" i="1"/>
  <c r="V51" i="1"/>
  <c r="W51" i="1"/>
  <c r="X51" i="1"/>
  <c r="Y51" i="1"/>
  <c r="Z51" i="1"/>
  <c r="S52" i="1"/>
  <c r="T52" i="1"/>
  <c r="U52" i="1"/>
  <c r="V52" i="1"/>
  <c r="W52" i="1"/>
  <c r="X52" i="1"/>
  <c r="Y52" i="1"/>
  <c r="Z52" i="1"/>
  <c r="S54" i="1"/>
  <c r="T54" i="1"/>
  <c r="U54" i="1"/>
  <c r="V54" i="1"/>
  <c r="W54" i="1"/>
  <c r="X54" i="1"/>
  <c r="Y54" i="1"/>
  <c r="Z54" i="1"/>
  <c r="E1" i="1"/>
  <c r="F1" i="1"/>
  <c r="G1" i="1"/>
  <c r="H1" i="1"/>
  <c r="E9" i="1"/>
  <c r="E11" i="1"/>
  <c r="F9" i="1"/>
  <c r="F11" i="1"/>
  <c r="G9" i="1"/>
  <c r="G11" i="1" s="1"/>
  <c r="H9" i="1"/>
  <c r="H11" i="1" s="1"/>
  <c r="E10" i="1"/>
  <c r="E12" i="1"/>
  <c r="F10" i="1"/>
  <c r="F12" i="1"/>
  <c r="G10" i="1"/>
  <c r="G12" i="1"/>
  <c r="H10" i="1"/>
  <c r="H12" i="1"/>
  <c r="K6" i="3"/>
  <c r="J6" i="3"/>
  <c r="I6" i="3"/>
  <c r="H6" i="3"/>
  <c r="G6" i="3"/>
  <c r="F6" i="3"/>
  <c r="E6" i="3"/>
  <c r="D6" i="3"/>
  <c r="C6" i="3"/>
  <c r="K5" i="3"/>
  <c r="J5" i="3"/>
  <c r="I5" i="3"/>
  <c r="H5" i="3"/>
  <c r="G5" i="3"/>
  <c r="F5" i="3"/>
  <c r="E5" i="3"/>
  <c r="H32" i="1"/>
  <c r="H61" i="1"/>
  <c r="H63" i="1"/>
  <c r="H5" i="1"/>
  <c r="F32" i="1"/>
  <c r="F61" i="1"/>
  <c r="F63" i="1"/>
  <c r="F5" i="1"/>
  <c r="G32" i="1"/>
  <c r="G61" i="1" s="1"/>
  <c r="G63" i="1" s="1"/>
  <c r="G5" i="1" s="1"/>
  <c r="O30" i="1"/>
  <c r="O1" i="1"/>
  <c r="O31" i="1"/>
  <c r="E61" i="1" l="1"/>
  <c r="O32" i="1"/>
  <c r="O59" i="1"/>
  <c r="O61" i="1" l="1"/>
  <c r="E63" i="1"/>
  <c r="E5" i="1" l="1"/>
  <c r="O63" i="1"/>
  <c r="O5" i="1" s="1"/>
</calcChain>
</file>

<file path=xl/sharedStrings.xml><?xml version="1.0" encoding="utf-8"?>
<sst xmlns="http://schemas.openxmlformats.org/spreadsheetml/2006/main" count="655" uniqueCount="547">
  <si>
    <t>착오수량</t>
    <phoneticPr fontId="1" type="noConversion"/>
  </si>
  <si>
    <t>출고완료</t>
    <phoneticPr fontId="1" type="noConversion"/>
  </si>
  <si>
    <t>패킹 입고수량</t>
  </si>
  <si>
    <t>오션</t>
    <phoneticPr fontId="1" type="noConversion"/>
  </si>
  <si>
    <t>에어</t>
    <phoneticPr fontId="1" type="noConversion"/>
  </si>
  <si>
    <t>냉동</t>
  </si>
  <si>
    <t>합계</t>
    <phoneticPr fontId="1" type="noConversion"/>
  </si>
  <si>
    <t>비고</t>
    <phoneticPr fontId="1" type="noConversion"/>
  </si>
  <si>
    <t>망고스틴 5kg</t>
  </si>
  <si>
    <t>생산</t>
  </si>
  <si>
    <t>통관일자</t>
  </si>
  <si>
    <t>B/L No.</t>
  </si>
  <si>
    <t>4수</t>
  </si>
  <si>
    <t>1016 386 9 345</t>
  </si>
  <si>
    <t>폐기 78개</t>
  </si>
  <si>
    <r>
      <rPr>
        <b/>
        <sz val="20"/>
        <color theme="1"/>
        <rFont val="돋움"/>
        <family val="3"/>
        <charset val="129"/>
      </rPr>
      <t>태국망고</t>
    </r>
    <r>
      <rPr>
        <b/>
        <sz val="20"/>
        <color theme="1"/>
        <rFont val="Meiryo"/>
        <family val="2"/>
      </rPr>
      <t xml:space="preserve"> 5kg</t>
    </r>
    <phoneticPr fontId="1" type="noConversion"/>
  </si>
  <si>
    <r>
      <rPr>
        <b/>
        <sz val="20"/>
        <color theme="1"/>
        <rFont val="돋움"/>
        <family val="3"/>
        <charset val="129"/>
      </rPr>
      <t>태국망고</t>
    </r>
    <r>
      <rPr>
        <b/>
        <sz val="20"/>
        <color theme="1"/>
        <rFont val="Meiryo"/>
        <family val="2"/>
      </rPr>
      <t>5kg</t>
    </r>
    <phoneticPr fontId="1" type="noConversion"/>
  </si>
  <si>
    <r>
      <rPr>
        <b/>
        <sz val="20"/>
        <color theme="1"/>
        <rFont val="돋움"/>
        <family val="3"/>
        <charset val="129"/>
      </rPr>
      <t>대만</t>
    </r>
    <phoneticPr fontId="1" type="noConversion"/>
  </si>
  <si>
    <r>
      <rPr>
        <b/>
        <sz val="20"/>
        <color theme="1"/>
        <rFont val="돋움"/>
        <family val="3"/>
        <charset val="129"/>
      </rPr>
      <t>파인애플</t>
    </r>
    <r>
      <rPr>
        <b/>
        <sz val="20"/>
        <color theme="1"/>
        <rFont val="Meiryo"/>
        <family val="2"/>
      </rPr>
      <t>10kg</t>
    </r>
    <phoneticPr fontId="1" type="noConversion"/>
  </si>
  <si>
    <t>두리안</t>
    <phoneticPr fontId="1" type="noConversion"/>
  </si>
  <si>
    <r>
      <t>A</t>
    </r>
    <r>
      <rPr>
        <b/>
        <sz val="20"/>
        <color theme="1"/>
        <rFont val="돋움"/>
        <family val="3"/>
        <charset val="129"/>
      </rPr>
      <t>급합계</t>
    </r>
    <phoneticPr fontId="1" type="noConversion"/>
  </si>
  <si>
    <r>
      <t>B</t>
    </r>
    <r>
      <rPr>
        <b/>
        <sz val="20"/>
        <color theme="1"/>
        <rFont val="돋움"/>
        <family val="3"/>
        <charset val="129"/>
      </rPr>
      <t>급합계</t>
    </r>
    <phoneticPr fontId="1" type="noConversion"/>
  </si>
  <si>
    <t>주소</t>
    <phoneticPr fontId="1" type="noConversion"/>
  </si>
  <si>
    <t>담당자</t>
    <phoneticPr fontId="1" type="noConversion"/>
  </si>
  <si>
    <t>전화번호</t>
    <phoneticPr fontId="1" type="noConversion"/>
  </si>
  <si>
    <t>검역로스</t>
  </si>
  <si>
    <t xml:space="preserve">검역로스 </t>
  </si>
  <si>
    <t>강서</t>
  </si>
  <si>
    <t>성심</t>
  </si>
  <si>
    <t>안양</t>
  </si>
  <si>
    <t>푸르미</t>
  </si>
  <si>
    <t>천안</t>
  </si>
  <si>
    <t>천안영풍</t>
  </si>
  <si>
    <t>가락</t>
  </si>
  <si>
    <t>한라</t>
  </si>
  <si>
    <t xml:space="preserve">진주 </t>
  </si>
  <si>
    <t>진주NF</t>
  </si>
  <si>
    <t>대전</t>
  </si>
  <si>
    <t>사우스코어</t>
  </si>
  <si>
    <t>Balance</t>
  </si>
  <si>
    <t>지역</t>
    <phoneticPr fontId="1" type="noConversion"/>
  </si>
  <si>
    <t>거래처</t>
    <phoneticPr fontId="1" type="noConversion"/>
  </si>
  <si>
    <t>연락처</t>
    <phoneticPr fontId="1" type="noConversion"/>
  </si>
  <si>
    <r>
      <t xml:space="preserve"> </t>
    </r>
    <r>
      <rPr>
        <b/>
        <sz val="10"/>
        <color theme="1"/>
        <rFont val="돋움"/>
        <family val="3"/>
        <charset val="129"/>
      </rPr>
      <t>논산</t>
    </r>
    <phoneticPr fontId="1" type="noConversion"/>
  </si>
  <si>
    <t>논산논산청과</t>
    <phoneticPr fontId="1" type="noConversion"/>
  </si>
  <si>
    <r>
      <rPr>
        <b/>
        <sz val="10"/>
        <color theme="1"/>
        <rFont val="돋움"/>
        <family val="3"/>
        <charset val="129"/>
      </rPr>
      <t>충남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논산시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취암동</t>
    </r>
    <r>
      <rPr>
        <b/>
        <sz val="10"/>
        <color theme="1"/>
        <rFont val="Meiryo"/>
        <family val="2"/>
      </rPr>
      <t xml:space="preserve"> 504 </t>
    </r>
    <phoneticPr fontId="1" type="noConversion"/>
  </si>
  <si>
    <t>011-456-1007</t>
  </si>
  <si>
    <t>GS</t>
    <phoneticPr fontId="1" type="noConversion"/>
  </si>
  <si>
    <r>
      <t>gs</t>
    </r>
    <r>
      <rPr>
        <b/>
        <sz val="10"/>
        <color theme="1"/>
        <rFont val="돋움"/>
        <family val="3"/>
        <charset val="129"/>
      </rPr>
      <t>양산물류센터</t>
    </r>
    <phoneticPr fontId="1" type="noConversion"/>
  </si>
  <si>
    <r>
      <rPr>
        <b/>
        <sz val="10"/>
        <color theme="1"/>
        <rFont val="돋움"/>
        <family val="3"/>
        <charset val="129"/>
      </rPr>
      <t>경남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양산시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다방동</t>
    </r>
    <r>
      <rPr>
        <b/>
        <sz val="10"/>
        <color theme="1"/>
        <rFont val="Meiryo"/>
        <family val="2"/>
      </rPr>
      <t xml:space="preserve"> 98-1</t>
    </r>
    <phoneticPr fontId="1" type="noConversion"/>
  </si>
  <si>
    <t>하역담당</t>
    <phoneticPr fontId="1" type="noConversion"/>
  </si>
  <si>
    <t>010-4285-0057</t>
  </si>
  <si>
    <t>가락</t>
    <phoneticPr fontId="1" type="noConversion"/>
  </si>
  <si>
    <t>가락농협신양플러스</t>
    <phoneticPr fontId="1" type="noConversion"/>
  </si>
  <si>
    <r>
      <rPr>
        <b/>
        <sz val="10"/>
        <color rgb="FF000000"/>
        <rFont val="맑은 고딕"/>
        <family val="3"/>
        <charset val="129"/>
      </rPr>
      <t>서울시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맑은 고딕"/>
        <family val="3"/>
        <charset val="129"/>
      </rPr>
      <t>송파구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맑은 고딕"/>
        <family val="3"/>
        <charset val="129"/>
      </rPr>
      <t>양재대로</t>
    </r>
    <r>
      <rPr>
        <b/>
        <sz val="10"/>
        <color rgb="FF000000"/>
        <rFont val="Meiryo"/>
        <family val="2"/>
        <charset val="128"/>
      </rPr>
      <t xml:space="preserve"> 932 (</t>
    </r>
    <r>
      <rPr>
        <b/>
        <sz val="10"/>
        <color rgb="FF000000"/>
        <rFont val="맑은 고딕"/>
        <family val="3"/>
        <charset val="129"/>
      </rPr>
      <t>가락동</t>
    </r>
    <r>
      <rPr>
        <b/>
        <sz val="10"/>
        <color rgb="FF000000"/>
        <rFont val="Meiryo"/>
        <family val="2"/>
        <charset val="128"/>
      </rPr>
      <t>)</t>
    </r>
  </si>
  <si>
    <t>가락동화성은</t>
    <phoneticPr fontId="1" type="noConversion"/>
  </si>
  <si>
    <t>가락서울가락청과</t>
    <phoneticPr fontId="1" type="noConversion"/>
  </si>
  <si>
    <t>가락중앙중앙청과</t>
    <phoneticPr fontId="1" type="noConversion"/>
  </si>
  <si>
    <r>
      <rPr>
        <b/>
        <sz val="10"/>
        <color theme="1"/>
        <rFont val="맑은 고딕"/>
        <family val="2"/>
        <charset val="129"/>
      </rPr>
      <t>서울시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송파구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양재대로</t>
    </r>
    <r>
      <rPr>
        <b/>
        <sz val="10"/>
        <color theme="1"/>
        <rFont val="Meiryo"/>
        <family val="2"/>
      </rPr>
      <t xml:space="preserve"> 932 (</t>
    </r>
    <r>
      <rPr>
        <b/>
        <sz val="10"/>
        <color theme="1"/>
        <rFont val="맑은 고딕"/>
        <family val="2"/>
        <charset val="129"/>
      </rPr>
      <t>가락동</t>
    </r>
    <r>
      <rPr>
        <b/>
        <sz val="10"/>
        <color theme="1"/>
        <rFont val="Meiryo"/>
        <family val="2"/>
      </rPr>
      <t>)</t>
    </r>
    <phoneticPr fontId="1" type="noConversion"/>
  </si>
  <si>
    <t>가락한국송화</t>
    <phoneticPr fontId="1" type="noConversion"/>
  </si>
  <si>
    <t>가락농협</t>
  </si>
  <si>
    <t>가락농협경운</t>
    <phoneticPr fontId="1" type="noConversion"/>
  </si>
  <si>
    <t>가락농협대일후르츠</t>
    <phoneticPr fontId="1" type="noConversion"/>
  </si>
  <si>
    <t>강서</t>
    <phoneticPr fontId="1" type="noConversion"/>
  </si>
  <si>
    <t>강서선인농산</t>
    <phoneticPr fontId="1" type="noConversion"/>
  </si>
  <si>
    <r>
      <rPr>
        <b/>
        <sz val="10"/>
        <color theme="1"/>
        <rFont val="돋움"/>
        <family val="3"/>
        <charset val="129"/>
      </rPr>
      <t>서울시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강서구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발산로</t>
    </r>
    <r>
      <rPr>
        <b/>
        <sz val="10"/>
        <color theme="1"/>
        <rFont val="Meiryo"/>
        <family val="2"/>
      </rPr>
      <t xml:space="preserve"> 40 </t>
    </r>
    <r>
      <rPr>
        <b/>
        <sz val="10"/>
        <color theme="1"/>
        <rFont val="돋움"/>
        <family val="3"/>
        <charset val="129"/>
      </rPr>
      <t>강서농수산물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도매시장</t>
    </r>
    <r>
      <rPr>
        <b/>
        <sz val="10"/>
        <color theme="1"/>
        <rFont val="Meiryo"/>
        <family val="2"/>
      </rPr>
      <t xml:space="preserve"> A-3</t>
    </r>
    <r>
      <rPr>
        <b/>
        <sz val="10"/>
        <color theme="1"/>
        <rFont val="돋움"/>
        <family val="3"/>
        <charset val="129"/>
      </rPr>
      <t>호</t>
    </r>
    <r>
      <rPr>
        <b/>
        <sz val="10"/>
        <color theme="1"/>
        <rFont val="Meiryo"/>
        <family val="2"/>
      </rPr>
      <t xml:space="preserve"> (02-2640-9903) </t>
    </r>
    <phoneticPr fontId="1" type="noConversion"/>
  </si>
  <si>
    <t>백승열</t>
    <phoneticPr fontId="1" type="noConversion"/>
  </si>
  <si>
    <t>010-8746-6936</t>
    <phoneticPr fontId="1" type="noConversion"/>
  </si>
  <si>
    <t>강서수명산</t>
    <phoneticPr fontId="1" type="noConversion"/>
  </si>
  <si>
    <r>
      <rPr>
        <b/>
        <sz val="10"/>
        <color theme="1"/>
        <rFont val="돋움"/>
        <family val="3"/>
        <charset val="129"/>
      </rPr>
      <t>서울시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강서구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외발산동</t>
    </r>
    <r>
      <rPr>
        <b/>
        <sz val="10"/>
        <color theme="1"/>
        <rFont val="Meiryo"/>
        <family val="2"/>
      </rPr>
      <t xml:space="preserve"> 216-18</t>
    </r>
    <phoneticPr fontId="1" type="noConversion"/>
  </si>
  <si>
    <t>010-2841-9420</t>
    <phoneticPr fontId="1" type="noConversion"/>
  </si>
  <si>
    <t>경기</t>
    <phoneticPr fontId="1" type="noConversion"/>
  </si>
  <si>
    <r>
      <rPr>
        <b/>
        <sz val="10"/>
        <color theme="1"/>
        <rFont val="돋움"/>
        <family val="3"/>
        <charset val="129"/>
      </rPr>
      <t>경기황금물산</t>
    </r>
    <r>
      <rPr>
        <b/>
        <sz val="10"/>
        <color theme="1"/>
        <rFont val="Meiryo"/>
        <family val="2"/>
      </rPr>
      <t>2</t>
    </r>
    <r>
      <rPr>
        <b/>
        <sz val="10"/>
        <color theme="1"/>
        <rFont val="돋움"/>
        <family val="3"/>
        <charset val="129"/>
      </rPr>
      <t>지점</t>
    </r>
    <phoneticPr fontId="1" type="noConversion"/>
  </si>
  <si>
    <r>
      <rPr>
        <b/>
        <sz val="10"/>
        <color theme="1"/>
        <rFont val="돋움"/>
        <family val="3"/>
        <charset val="129"/>
      </rPr>
      <t>신천동</t>
    </r>
    <r>
      <rPr>
        <b/>
        <sz val="10"/>
        <color theme="1"/>
        <rFont val="Meiryo"/>
        <family val="2"/>
      </rPr>
      <t xml:space="preserve"> 879-6 </t>
    </r>
    <phoneticPr fontId="1" type="noConversion"/>
  </si>
  <si>
    <t>010-2298-3234</t>
  </si>
  <si>
    <t>광명</t>
    <phoneticPr fontId="1" type="noConversion"/>
  </si>
  <si>
    <t>광명광명유통</t>
    <phoneticPr fontId="1" type="noConversion"/>
  </si>
  <si>
    <r>
      <rPr>
        <b/>
        <sz val="10"/>
        <color theme="1"/>
        <rFont val="돋움"/>
        <family val="3"/>
        <charset val="129"/>
      </rPr>
      <t>광명시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가학동</t>
    </r>
    <r>
      <rPr>
        <b/>
        <sz val="10"/>
        <color theme="1"/>
        <rFont val="Meiryo"/>
        <family val="2"/>
      </rPr>
      <t xml:space="preserve"> 335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</si>
  <si>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010-5535-9882</t>
    <phoneticPr fontId="1" type="noConversion"/>
  </si>
  <si>
    <t>광주</t>
    <phoneticPr fontId="1" type="noConversion"/>
  </si>
  <si>
    <t>광주누리원</t>
    <phoneticPr fontId="1" type="noConversion"/>
  </si>
  <si>
    <r>
      <rPr>
        <b/>
        <sz val="10"/>
        <color rgb="FF000000"/>
        <rFont val="맑은 고딕"/>
        <family val="3"/>
        <charset val="129"/>
      </rPr>
      <t>광주광역시</t>
    </r>
    <r>
      <rPr>
        <b/>
        <sz val="10"/>
        <color rgb="FF000000"/>
        <rFont val="Meiryo"/>
        <family val="2"/>
        <charset val="128"/>
      </rPr>
      <t xml:space="preserve"> 북구 첨단연신로4 누리원, 간판 두개 누리원 또는 광명데이콤 </t>
    </r>
  </si>
  <si>
    <t>010-7112-3824</t>
    <phoneticPr fontId="1" type="noConversion"/>
  </si>
  <si>
    <r>
      <rPr>
        <b/>
        <sz val="10"/>
        <color theme="1"/>
        <rFont val="돋움"/>
        <family val="3"/>
        <charset val="129"/>
      </rPr>
      <t>광주</t>
    </r>
    <r>
      <rPr>
        <b/>
        <sz val="10"/>
        <color theme="1"/>
        <rFont val="Meiryo"/>
        <family val="2"/>
      </rPr>
      <t xml:space="preserve"> </t>
    </r>
    <phoneticPr fontId="1" type="noConversion"/>
  </si>
  <si>
    <t>광주광주원협</t>
    <phoneticPr fontId="1" type="noConversion"/>
  </si>
  <si>
    <r>
      <rPr>
        <b/>
        <sz val="10"/>
        <color rgb="FF000000"/>
        <rFont val="돋움"/>
        <family val="3"/>
        <charset val="129"/>
      </rPr>
      <t>광주광역시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북구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각화동</t>
    </r>
    <r>
      <rPr>
        <b/>
        <sz val="10"/>
        <color rgb="FF000000"/>
        <rFont val="Meiryo"/>
        <family val="2"/>
        <charset val="128"/>
      </rPr>
      <t xml:space="preserve"> 437-3</t>
    </r>
  </si>
  <si>
    <t>062-250-7000</t>
    <phoneticPr fontId="1" type="noConversion"/>
  </si>
  <si>
    <t>광주광주농협</t>
    <phoneticPr fontId="1" type="noConversion"/>
  </si>
  <si>
    <r>
      <rPr>
        <b/>
        <sz val="10"/>
        <color theme="1"/>
        <rFont val="돋움"/>
        <family val="3"/>
        <charset val="129"/>
      </rPr>
      <t>광주광역시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매월동</t>
    </r>
    <r>
      <rPr>
        <b/>
        <sz val="10"/>
        <color theme="1"/>
        <rFont val="Meiryo"/>
        <family val="2"/>
      </rPr>
      <t xml:space="preserve"> 954</t>
    </r>
    <phoneticPr fontId="1" type="noConversion"/>
  </si>
  <si>
    <t>광주두레청과</t>
    <phoneticPr fontId="1" type="noConversion"/>
  </si>
  <si>
    <r>
      <rPr>
        <b/>
        <sz val="10"/>
        <color rgb="FF000000"/>
        <rFont val="돋움"/>
        <family val="3"/>
        <charset val="129"/>
      </rPr>
      <t>광주광역시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서구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매월동</t>
    </r>
    <r>
      <rPr>
        <b/>
        <sz val="10"/>
        <color rgb="FF000000"/>
        <rFont val="Meiryo"/>
        <family val="2"/>
        <charset val="128"/>
      </rPr>
      <t xml:space="preserve"> 954 </t>
    </r>
  </si>
  <si>
    <t>062-655-6688</t>
  </si>
  <si>
    <t>광주서부농협</t>
    <phoneticPr fontId="1" type="noConversion"/>
  </si>
  <si>
    <r>
      <rPr>
        <b/>
        <sz val="10"/>
        <color theme="1"/>
        <rFont val="돋움"/>
        <family val="3"/>
        <charset val="129"/>
      </rPr>
      <t>광주광역시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매월동</t>
    </r>
    <r>
      <rPr>
        <b/>
        <sz val="10"/>
        <color theme="1"/>
        <rFont val="Meiryo"/>
        <family val="2"/>
      </rPr>
      <t xml:space="preserve"> 954 </t>
    </r>
    <phoneticPr fontId="1" type="noConversion"/>
  </si>
  <si>
    <t>062-651-4900</t>
  </si>
  <si>
    <t>광주매월</t>
    <phoneticPr fontId="1" type="noConversion"/>
  </si>
  <si>
    <t>광주매월장보남</t>
    <phoneticPr fontId="1" type="noConversion"/>
  </si>
  <si>
    <r>
      <rPr>
        <b/>
        <sz val="10"/>
        <color theme="1"/>
        <rFont val="돋움"/>
        <family val="3"/>
        <charset val="129"/>
      </rPr>
      <t>광주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매월동</t>
    </r>
    <r>
      <rPr>
        <b/>
        <sz val="10"/>
        <color theme="1"/>
        <rFont val="Meiryo"/>
        <family val="2"/>
      </rPr>
      <t xml:space="preserve"> 952-16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</si>
  <si>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010-2606-9780</t>
    <phoneticPr fontId="1" type="noConversion"/>
  </si>
  <si>
    <t>구리</t>
    <phoneticPr fontId="1" type="noConversion"/>
  </si>
  <si>
    <t>구리구리청과</t>
    <phoneticPr fontId="1" type="noConversion"/>
  </si>
  <si>
    <t>경기도 구리시 도매시장로 68(인창동)</t>
  </si>
  <si>
    <t>031-560-6182</t>
    <phoneticPr fontId="1" type="noConversion"/>
  </si>
  <si>
    <t>김포</t>
    <phoneticPr fontId="1" type="noConversion"/>
  </si>
  <si>
    <t>김포광명유통</t>
    <phoneticPr fontId="1" type="noConversion"/>
  </si>
  <si>
    <t>김포공항</t>
    <phoneticPr fontId="1" type="noConversion"/>
  </si>
  <si>
    <t>010-8964-4711</t>
    <phoneticPr fontId="1" type="noConversion"/>
  </si>
  <si>
    <t>김포문명길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</si>
  <si>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김포시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한강</t>
    </r>
    <r>
      <rPr>
        <b/>
        <sz val="10"/>
        <color theme="1"/>
        <rFont val="Meiryo"/>
        <family val="2"/>
      </rPr>
      <t>8</t>
    </r>
    <r>
      <rPr>
        <b/>
        <sz val="10"/>
        <color theme="1"/>
        <rFont val="돋움"/>
        <family val="3"/>
        <charset val="129"/>
      </rPr>
      <t>로</t>
    </r>
    <r>
      <rPr>
        <b/>
        <sz val="10"/>
        <color theme="1"/>
        <rFont val="Meiryo"/>
        <family val="2"/>
      </rPr>
      <t xml:space="preserve"> 15, </t>
    </r>
    <r>
      <rPr>
        <b/>
        <sz val="10"/>
        <color theme="1"/>
        <rFont val="돋움"/>
        <family val="3"/>
        <charset val="129"/>
      </rPr>
      <t>한강센트럴블루힐</t>
    </r>
    <r>
      <rPr>
        <b/>
        <sz val="10"/>
        <color theme="1"/>
        <rFont val="Meiryo"/>
        <family val="2"/>
      </rPr>
      <t xml:space="preserve"> 505</t>
    </r>
    <r>
      <rPr>
        <b/>
        <sz val="10"/>
        <color theme="1"/>
        <rFont val="돋움"/>
        <family val="3"/>
        <charset val="129"/>
      </rPr>
      <t>동</t>
    </r>
    <r>
      <rPr>
        <b/>
        <sz val="10"/>
        <color theme="1"/>
        <rFont val="Meiryo"/>
        <family val="2"/>
      </rPr>
      <t xml:space="preserve"> 140</t>
    </r>
    <r>
      <rPr>
        <b/>
        <sz val="10"/>
        <color theme="1"/>
        <rFont val="돋움"/>
        <family val="3"/>
        <charset val="129"/>
      </rPr>
      <t>호</t>
    </r>
    <phoneticPr fontId="1" type="noConversion"/>
  </si>
  <si>
    <t>010-8865-8255</t>
    <phoneticPr fontId="1" type="noConversion"/>
  </si>
  <si>
    <t>남양주</t>
    <phoneticPr fontId="1" type="noConversion"/>
  </si>
  <si>
    <t>남양주비티원</t>
    <phoneticPr fontId="1" type="noConversion"/>
  </si>
  <si>
    <t>남양주시 진접읍 연평리 233</t>
  </si>
  <si>
    <t>010-7299-8293</t>
    <phoneticPr fontId="1" type="noConversion"/>
  </si>
  <si>
    <t>남양주인우마케팅</t>
    <phoneticPr fontId="1" type="noConversion"/>
  </si>
  <si>
    <t>경기도 남양주시 진접읍 연평리 458-5 인우</t>
  </si>
  <si>
    <t>010-2110-9545</t>
  </si>
  <si>
    <t>논산</t>
    <phoneticPr fontId="1" type="noConversion"/>
  </si>
  <si>
    <t>논산논산피알</t>
    <phoneticPr fontId="1" type="noConversion"/>
  </si>
  <si>
    <r>
      <rPr>
        <b/>
        <sz val="10"/>
        <color theme="1"/>
        <rFont val="돋움"/>
        <family val="3"/>
        <charset val="129"/>
      </rPr>
      <t>충남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논산시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계백로</t>
    </r>
    <r>
      <rPr>
        <b/>
        <sz val="10"/>
        <color theme="1"/>
        <rFont val="Meiryo"/>
        <family val="2"/>
      </rPr>
      <t xml:space="preserve"> 918(</t>
    </r>
    <r>
      <rPr>
        <b/>
        <sz val="10"/>
        <color theme="1"/>
        <rFont val="돋움"/>
        <family val="3"/>
        <charset val="129"/>
      </rPr>
      <t>논산</t>
    </r>
    <r>
      <rPr>
        <b/>
        <sz val="10"/>
        <color theme="1"/>
        <rFont val="Meiryo"/>
        <family val="2"/>
      </rPr>
      <t xml:space="preserve"> KT</t>
    </r>
    <r>
      <rPr>
        <b/>
        <sz val="10"/>
        <color theme="1"/>
        <rFont val="돋움"/>
        <family val="3"/>
        <charset val="129"/>
      </rPr>
      <t>전화국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옆</t>
    </r>
    <r>
      <rPr>
        <b/>
        <sz val="10"/>
        <color theme="1"/>
        <rFont val="Meiryo"/>
        <family val="2"/>
      </rPr>
      <t>)</t>
    </r>
    <phoneticPr fontId="1" type="noConversion"/>
  </si>
  <si>
    <t>010-5514-1244</t>
    <phoneticPr fontId="1" type="noConversion"/>
  </si>
  <si>
    <t>논산황산청과</t>
    <phoneticPr fontId="1" type="noConversion"/>
  </si>
  <si>
    <t>경매사님</t>
    <phoneticPr fontId="1" type="noConversion"/>
  </si>
  <si>
    <t>010-7730-8082</t>
    <phoneticPr fontId="1" type="noConversion"/>
  </si>
  <si>
    <t>대구</t>
    <phoneticPr fontId="1" type="noConversion"/>
  </si>
  <si>
    <t>대구대구경북원예농협</t>
    <phoneticPr fontId="1" type="noConversion"/>
  </si>
  <si>
    <r>
      <rPr>
        <b/>
        <sz val="10"/>
        <color theme="1"/>
        <rFont val="돋움"/>
        <family val="3"/>
        <charset val="129"/>
      </rPr>
      <t>매천동</t>
    </r>
    <r>
      <rPr>
        <b/>
        <sz val="10"/>
        <color theme="1"/>
        <rFont val="Meiryo"/>
        <family val="2"/>
      </rPr>
      <t xml:space="preserve"> 527-3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</si>
  <si>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053-312-1792</t>
    <phoneticPr fontId="1" type="noConversion"/>
  </si>
  <si>
    <t>대구대구만성</t>
    <phoneticPr fontId="1" type="noConversion"/>
  </si>
  <si>
    <t>대구 북구 관음동 6-7번지</t>
  </si>
  <si>
    <t>010-2530-1237</t>
    <phoneticPr fontId="1" type="noConversion"/>
  </si>
  <si>
    <t>대구백운농산</t>
    <phoneticPr fontId="1" type="noConversion"/>
  </si>
  <si>
    <r>
      <rPr>
        <b/>
        <sz val="10"/>
        <color theme="1"/>
        <rFont val="돋움"/>
        <family val="3"/>
        <charset val="129"/>
      </rPr>
      <t>매천동</t>
    </r>
    <r>
      <rPr>
        <b/>
        <sz val="10"/>
        <color theme="1"/>
        <rFont val="Meiryo"/>
        <family val="2"/>
      </rPr>
      <t xml:space="preserve"> 167-3 </t>
    </r>
    <phoneticPr fontId="1" type="noConversion"/>
  </si>
  <si>
    <t>010-3521-1683</t>
  </si>
  <si>
    <t>대구효성청과</t>
    <phoneticPr fontId="1" type="noConversion"/>
  </si>
  <si>
    <t xml:space="preserve">대구광역시 북구 매천동 537-3번지 </t>
  </si>
  <si>
    <r>
      <rPr>
        <b/>
        <sz val="10"/>
        <color theme="1"/>
        <rFont val="돋움"/>
        <family val="3"/>
        <charset val="129"/>
      </rPr>
      <t>정상록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부장</t>
    </r>
    <phoneticPr fontId="1" type="noConversion"/>
  </si>
  <si>
    <t>010-3812-4489</t>
    <phoneticPr fontId="1" type="noConversion"/>
  </si>
  <si>
    <t>대전</t>
    <phoneticPr fontId="1" type="noConversion"/>
  </si>
  <si>
    <t>대전대성청과</t>
    <phoneticPr fontId="1" type="noConversion"/>
  </si>
  <si>
    <r>
      <rPr>
        <b/>
        <sz val="10"/>
        <color theme="1"/>
        <rFont val="돋움"/>
        <family val="3"/>
        <charset val="129"/>
      </rPr>
      <t>오정동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시장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앞</t>
    </r>
    <r>
      <rPr>
        <b/>
        <sz val="10"/>
        <color theme="1"/>
        <rFont val="Meiryo"/>
        <family val="2"/>
      </rPr>
      <t xml:space="preserve"> </t>
    </r>
    <phoneticPr fontId="1" type="noConversion"/>
  </si>
  <si>
    <t>042-621-7694</t>
  </si>
  <si>
    <t>대전대전농협</t>
    <phoneticPr fontId="1" type="noConversion"/>
  </si>
  <si>
    <r>
      <rPr>
        <b/>
        <sz val="10"/>
        <color theme="1"/>
        <rFont val="돋움"/>
        <family val="3"/>
        <charset val="129"/>
      </rPr>
      <t>대전광역시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대덕구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한밭대로</t>
    </r>
    <r>
      <rPr>
        <b/>
        <sz val="10"/>
        <color theme="1"/>
        <rFont val="Meiryo"/>
        <family val="2"/>
      </rPr>
      <t xml:space="preserve"> 987(042-624-7781) </t>
    </r>
    <phoneticPr fontId="1" type="noConversion"/>
  </si>
  <si>
    <r>
      <rPr>
        <b/>
        <sz val="10"/>
        <color theme="1"/>
        <rFont val="돋움"/>
        <family val="3"/>
        <charset val="129"/>
      </rPr>
      <t>류재명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과장</t>
    </r>
    <phoneticPr fontId="1" type="noConversion"/>
  </si>
  <si>
    <t>010-4410-8259</t>
    <phoneticPr fontId="1" type="noConversion"/>
  </si>
  <si>
    <t>대전대전원협</t>
    <phoneticPr fontId="1" type="noConversion"/>
  </si>
  <si>
    <r>
      <rPr>
        <b/>
        <sz val="10"/>
        <color theme="1"/>
        <rFont val="돋움"/>
        <family val="3"/>
        <charset val="129"/>
      </rPr>
      <t>유성구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노은동로</t>
    </r>
    <r>
      <rPr>
        <b/>
        <sz val="10"/>
        <color theme="1"/>
        <rFont val="Meiryo"/>
        <family val="2"/>
      </rPr>
      <t xml:space="preserve"> 33</t>
    </r>
    <phoneticPr fontId="1" type="noConversion"/>
  </si>
  <si>
    <t>대전대전중앙</t>
    <phoneticPr fontId="1" type="noConversion"/>
  </si>
  <si>
    <r>
      <rPr>
        <b/>
        <sz val="10"/>
        <color theme="1"/>
        <rFont val="돋움"/>
        <family val="3"/>
        <charset val="129"/>
      </rPr>
      <t>노은동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농산물시장</t>
    </r>
    <phoneticPr fontId="1" type="noConversion"/>
  </si>
  <si>
    <t>동탄</t>
    <phoneticPr fontId="1" type="noConversion"/>
  </si>
  <si>
    <t>동탄채과원</t>
    <phoneticPr fontId="1" type="noConversion"/>
  </si>
  <si>
    <r>
      <rPr>
        <b/>
        <sz val="10"/>
        <color theme="1"/>
        <rFont val="돋움"/>
        <family val="3"/>
        <charset val="129"/>
      </rPr>
      <t>화성시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동탄면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동타산단</t>
    </r>
    <r>
      <rPr>
        <b/>
        <sz val="10"/>
        <color theme="1"/>
        <rFont val="Meiryo"/>
        <family val="2"/>
      </rPr>
      <t>3</t>
    </r>
    <r>
      <rPr>
        <b/>
        <sz val="10"/>
        <color theme="1"/>
        <rFont val="돋움"/>
        <family val="3"/>
        <charset val="129"/>
      </rPr>
      <t>길</t>
    </r>
    <r>
      <rPr>
        <b/>
        <sz val="10"/>
        <color theme="1"/>
        <rFont val="Meiryo"/>
        <family val="2"/>
      </rPr>
      <t xml:space="preserve"> 20-5(</t>
    </r>
    <r>
      <rPr>
        <b/>
        <sz val="10"/>
        <color theme="1"/>
        <rFont val="돋움"/>
        <family val="3"/>
        <charset val="129"/>
      </rPr>
      <t>방교리</t>
    </r>
    <r>
      <rPr>
        <b/>
        <sz val="10"/>
        <color theme="1"/>
        <rFont val="Meiryo"/>
        <family val="2"/>
      </rPr>
      <t>)</t>
    </r>
    <phoneticPr fontId="1" type="noConversion"/>
  </si>
  <si>
    <t>마산</t>
    <phoneticPr fontId="1" type="noConversion"/>
  </si>
  <si>
    <t>마산수지글로벌</t>
    <phoneticPr fontId="1" type="noConversion"/>
  </si>
  <si>
    <r>
      <rPr>
        <b/>
        <sz val="10"/>
        <color theme="1"/>
        <rFont val="돋움"/>
        <family val="3"/>
        <charset val="129"/>
      </rPr>
      <t>경남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창원시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마산회원구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내서읍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중리</t>
    </r>
    <r>
      <rPr>
        <b/>
        <sz val="10"/>
        <color theme="1"/>
        <rFont val="Meiryo"/>
        <family val="2"/>
      </rPr>
      <t xml:space="preserve"> 750</t>
    </r>
    <r>
      <rPr>
        <b/>
        <sz val="10"/>
        <color theme="1"/>
        <rFont val="돋움"/>
        <family val="3"/>
        <charset val="129"/>
      </rPr>
      <t>번지</t>
    </r>
    <r>
      <rPr>
        <b/>
        <sz val="10"/>
        <color theme="1"/>
        <rFont val="Meiryo"/>
        <family val="2"/>
      </rPr>
      <t xml:space="preserve">, </t>
    </r>
    <r>
      <rPr>
        <b/>
        <sz val="10"/>
        <color theme="1"/>
        <rFont val="돋움"/>
        <family val="3"/>
        <charset val="129"/>
      </rPr>
      <t>마산청과</t>
    </r>
    <r>
      <rPr>
        <b/>
        <sz val="10"/>
        <color theme="1"/>
        <rFont val="Meiryo"/>
        <family val="2"/>
      </rPr>
      <t xml:space="preserve"> 77</t>
    </r>
    <r>
      <rPr>
        <b/>
        <sz val="10"/>
        <color theme="1"/>
        <rFont val="돋움"/>
        <family val="3"/>
        <charset val="129"/>
      </rPr>
      <t>번</t>
    </r>
    <phoneticPr fontId="1" type="noConversion"/>
  </si>
  <si>
    <t>목포</t>
    <phoneticPr fontId="1" type="noConversion"/>
  </si>
  <si>
    <t>목포금성</t>
    <phoneticPr fontId="1" type="noConversion"/>
  </si>
  <si>
    <r>
      <rPr>
        <b/>
        <sz val="10"/>
        <color theme="1"/>
        <rFont val="돋움"/>
        <family val="3"/>
        <charset val="129"/>
      </rPr>
      <t>목포시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대양동</t>
    </r>
    <r>
      <rPr>
        <b/>
        <sz val="10"/>
        <color theme="1"/>
        <rFont val="Meiryo"/>
        <family val="2"/>
      </rPr>
      <t>1187-5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</si>
  <si>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010-9435-3466</t>
    <phoneticPr fontId="1" type="noConversion"/>
  </si>
  <si>
    <t>목포목포원협</t>
    <phoneticPr fontId="1" type="noConversion"/>
  </si>
  <si>
    <r>
      <rPr>
        <b/>
        <sz val="10"/>
        <color theme="1"/>
        <rFont val="돋움"/>
        <family val="3"/>
        <charset val="129"/>
      </rPr>
      <t>전라남도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목포시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상동</t>
    </r>
    <r>
      <rPr>
        <b/>
        <sz val="10"/>
        <color theme="1"/>
        <rFont val="Meiryo"/>
        <family val="2"/>
      </rPr>
      <t xml:space="preserve"> 250-5 </t>
    </r>
    <phoneticPr fontId="1" type="noConversion"/>
  </si>
  <si>
    <t>이명규경매사</t>
    <phoneticPr fontId="1" type="noConversion"/>
  </si>
  <si>
    <t>010-5400-5455</t>
    <phoneticPr fontId="1" type="noConversion"/>
  </si>
  <si>
    <t>목포보신상사</t>
    <phoneticPr fontId="1" type="noConversion"/>
  </si>
  <si>
    <r>
      <rPr>
        <b/>
        <sz val="10"/>
        <color theme="1"/>
        <rFont val="돋움"/>
        <family val="3"/>
        <charset val="129"/>
      </rPr>
      <t>전남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무안군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일로읍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산정리</t>
    </r>
    <r>
      <rPr>
        <b/>
        <sz val="10"/>
        <color theme="1"/>
        <rFont val="Meiryo"/>
        <family val="2"/>
      </rPr>
      <t xml:space="preserve"> 768-1 </t>
    </r>
    <phoneticPr fontId="1" type="noConversion"/>
  </si>
  <si>
    <t>010-4624-2761</t>
    <phoneticPr fontId="1" type="noConversion"/>
  </si>
  <si>
    <t>부산중앙청과</t>
  </si>
  <si>
    <t>부산과일특공대</t>
    <phoneticPr fontId="1" type="noConversion"/>
  </si>
  <si>
    <r>
      <rPr>
        <b/>
        <sz val="10"/>
        <color theme="1"/>
        <rFont val="돋움"/>
        <family val="3"/>
        <charset val="129"/>
      </rPr>
      <t>부산진구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부전동</t>
    </r>
    <r>
      <rPr>
        <b/>
        <sz val="10"/>
        <color theme="1"/>
        <rFont val="Meiryo"/>
        <family val="2"/>
      </rPr>
      <t xml:space="preserve"> 474-51 </t>
    </r>
    <phoneticPr fontId="1" type="noConversion"/>
  </si>
  <si>
    <t>010-8290-8920</t>
  </si>
  <si>
    <t>부산</t>
    <phoneticPr fontId="1" type="noConversion"/>
  </si>
  <si>
    <t>부산부산중앙청과</t>
    <phoneticPr fontId="1" type="noConversion"/>
  </si>
  <si>
    <t xml:space="preserve">부산 해운대구 수영강변대로 626 반여농산물시장 중앙청과 </t>
  </si>
  <si>
    <t>051-666-2000</t>
    <phoneticPr fontId="1" type="noConversion"/>
  </si>
  <si>
    <t>부산신화</t>
    <phoneticPr fontId="1" type="noConversion"/>
  </si>
  <si>
    <r>
      <rPr>
        <b/>
        <sz val="10"/>
        <color theme="1"/>
        <rFont val="돋움"/>
        <family val="3"/>
        <charset val="129"/>
      </rPr>
      <t>반여시장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동부청과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내</t>
    </r>
    <r>
      <rPr>
        <b/>
        <sz val="10"/>
        <color theme="1"/>
        <rFont val="Meiryo"/>
        <family val="2"/>
      </rPr>
      <t xml:space="preserve"> </t>
    </r>
    <phoneticPr fontId="1" type="noConversion"/>
  </si>
  <si>
    <t>051-666-5066</t>
  </si>
  <si>
    <t>부산대저</t>
    <phoneticPr fontId="1" type="noConversion"/>
  </si>
  <si>
    <t>부산대저성민청과</t>
    <phoneticPr fontId="1" type="noConversion"/>
  </si>
  <si>
    <r>
      <rPr>
        <b/>
        <sz val="10"/>
        <color theme="1"/>
        <rFont val="맑은 고딕"/>
        <family val="2"/>
        <charset val="129"/>
      </rPr>
      <t>부산광역시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강서구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대저</t>
    </r>
    <r>
      <rPr>
        <b/>
        <sz val="10"/>
        <color theme="1"/>
        <rFont val="Meiryo"/>
        <family val="2"/>
      </rPr>
      <t>2</t>
    </r>
    <r>
      <rPr>
        <b/>
        <sz val="10"/>
        <color theme="1"/>
        <rFont val="맑은 고딕"/>
        <family val="2"/>
        <charset val="129"/>
      </rPr>
      <t>동</t>
    </r>
    <r>
      <rPr>
        <b/>
        <sz val="10"/>
        <color theme="1"/>
        <rFont val="Meiryo"/>
        <family val="2"/>
      </rPr>
      <t xml:space="preserve"> 5222</t>
    </r>
    <r>
      <rPr>
        <b/>
        <sz val="10"/>
        <color theme="1"/>
        <rFont val="맑은 고딕"/>
        <family val="2"/>
        <charset val="129"/>
      </rPr>
      <t>번지</t>
    </r>
    <phoneticPr fontId="1" type="noConversion"/>
  </si>
  <si>
    <t>010-5412-7500</t>
    <phoneticPr fontId="1" type="noConversion"/>
  </si>
  <si>
    <t>부산대저수지글로벌</t>
    <phoneticPr fontId="1" type="noConversion"/>
  </si>
  <si>
    <r>
      <rPr>
        <b/>
        <sz val="10"/>
        <color theme="1"/>
        <rFont val="돋움"/>
        <family val="3"/>
        <charset val="129"/>
      </rPr>
      <t>부산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강서구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대저</t>
    </r>
    <r>
      <rPr>
        <b/>
        <sz val="10"/>
        <color theme="1"/>
        <rFont val="Meiryo"/>
        <family val="2"/>
      </rPr>
      <t>1</t>
    </r>
    <r>
      <rPr>
        <b/>
        <sz val="10"/>
        <color theme="1"/>
        <rFont val="돋움"/>
        <family val="3"/>
        <charset val="129"/>
      </rPr>
      <t>동</t>
    </r>
    <r>
      <rPr>
        <b/>
        <sz val="10"/>
        <color theme="1"/>
        <rFont val="Meiryo"/>
        <family val="2"/>
      </rPr>
      <t xml:space="preserve"> 1218</t>
    </r>
    <phoneticPr fontId="1" type="noConversion"/>
  </si>
  <si>
    <t>010-9828-0255</t>
    <phoneticPr fontId="1" type="noConversion"/>
  </si>
  <si>
    <t>부산반여</t>
    <phoneticPr fontId="1" type="noConversion"/>
  </si>
  <si>
    <t>부산반여서연후르츠</t>
    <phoneticPr fontId="1" type="noConversion"/>
  </si>
  <si>
    <r>
      <rPr>
        <b/>
        <sz val="10"/>
        <color theme="1"/>
        <rFont val="돋움"/>
        <family val="3"/>
        <charset val="129"/>
      </rPr>
      <t>부산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해운대구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반여동</t>
    </r>
    <r>
      <rPr>
        <b/>
        <sz val="10"/>
        <color theme="1"/>
        <rFont val="Meiryo"/>
        <family val="2"/>
      </rPr>
      <t xml:space="preserve"> 559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</si>
  <si>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부산반여수지글로벌</t>
    <phoneticPr fontId="1" type="noConversion"/>
  </si>
  <si>
    <r>
      <rPr>
        <b/>
        <sz val="10"/>
        <color theme="1"/>
        <rFont val="돋움"/>
        <family val="3"/>
        <charset val="129"/>
      </rPr>
      <t>부산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해운대구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반여동</t>
    </r>
    <r>
      <rPr>
        <b/>
        <sz val="10"/>
        <color theme="1"/>
        <rFont val="Meiryo"/>
        <family val="2"/>
      </rPr>
      <t xml:space="preserve"> 559</t>
    </r>
    <r>
      <rPr>
        <b/>
        <sz val="10"/>
        <color theme="1"/>
        <rFont val="돋움"/>
        <family val="3"/>
        <charset val="129"/>
      </rPr>
      <t>번지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농협공판장</t>
    </r>
    <r>
      <rPr>
        <b/>
        <sz val="10"/>
        <color theme="1"/>
        <rFont val="Meiryo"/>
        <family val="2"/>
      </rPr>
      <t xml:space="preserve"> 1</t>
    </r>
    <r>
      <rPr>
        <b/>
        <sz val="10"/>
        <color theme="1"/>
        <rFont val="돋움"/>
        <family val="3"/>
        <charset val="129"/>
      </rPr>
      <t>번</t>
    </r>
    <r>
      <rPr>
        <b/>
        <sz val="10"/>
        <color theme="1"/>
        <rFont val="Meiryo"/>
        <family val="2"/>
      </rPr>
      <t xml:space="preserve">, </t>
    </r>
    <r>
      <rPr>
        <b/>
        <sz val="10"/>
        <color theme="1"/>
        <rFont val="돋움"/>
        <family val="3"/>
        <charset val="129"/>
      </rPr>
      <t>새벽</t>
    </r>
    <r>
      <rPr>
        <b/>
        <sz val="10"/>
        <color theme="1"/>
        <rFont val="Meiryo"/>
        <family val="2"/>
      </rPr>
      <t>4</t>
    </r>
    <r>
      <rPr>
        <b/>
        <sz val="10"/>
        <color theme="1"/>
        <rFont val="돋움"/>
        <family val="3"/>
        <charset val="129"/>
      </rPr>
      <t>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하차</t>
    </r>
    <phoneticPr fontId="1" type="noConversion"/>
  </si>
  <si>
    <t>010-3849-3477</t>
    <phoneticPr fontId="1" type="noConversion"/>
  </si>
  <si>
    <t>부산엄궁</t>
    <phoneticPr fontId="1" type="noConversion"/>
  </si>
  <si>
    <t>부산엄궁성민청과</t>
    <phoneticPr fontId="1" type="noConversion"/>
  </si>
  <si>
    <r>
      <rPr>
        <b/>
        <sz val="10"/>
        <color theme="1"/>
        <rFont val="돋움"/>
        <family val="3"/>
        <charset val="129"/>
      </rPr>
      <t>부산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사상구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농산물시장로</t>
    </r>
    <r>
      <rPr>
        <b/>
        <sz val="10"/>
        <color theme="1"/>
        <rFont val="Meiryo"/>
        <family val="2"/>
      </rPr>
      <t>9</t>
    </r>
    <r>
      <rPr>
        <b/>
        <sz val="10"/>
        <color theme="1"/>
        <rFont val="돋움"/>
        <family val="3"/>
        <charset val="129"/>
      </rPr>
      <t>번길</t>
    </r>
    <r>
      <rPr>
        <b/>
        <sz val="10"/>
        <color theme="1"/>
        <rFont val="Meiryo"/>
        <family val="2"/>
      </rPr>
      <t xml:space="preserve"> 11 </t>
    </r>
    <r>
      <rPr>
        <b/>
        <sz val="10"/>
        <color theme="1"/>
        <rFont val="돋움"/>
        <family val="3"/>
        <charset val="129"/>
      </rPr>
      <t>농산물도매시장</t>
    </r>
    <phoneticPr fontId="1" type="noConversion"/>
  </si>
  <si>
    <t>부산진해</t>
    <phoneticPr fontId="1" type="noConversion"/>
  </si>
  <si>
    <t>부산진해진원무역</t>
    <phoneticPr fontId="1" type="noConversion"/>
  </si>
  <si>
    <r>
      <rPr>
        <b/>
        <sz val="10"/>
        <color theme="1"/>
        <rFont val="맑은 고딕"/>
        <family val="2"/>
        <charset val="129"/>
      </rPr>
      <t>경남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창원시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진해구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안골동</t>
    </r>
    <r>
      <rPr>
        <b/>
        <sz val="10"/>
        <color theme="1"/>
        <rFont val="Meiryo"/>
        <family val="2"/>
      </rPr>
      <t xml:space="preserve"> 835-31</t>
    </r>
    <phoneticPr fontId="1" type="noConversion"/>
  </si>
  <si>
    <r>
      <rPr>
        <b/>
        <sz val="10"/>
        <color theme="1"/>
        <rFont val="맑은 고딕"/>
        <family val="2"/>
        <charset val="129"/>
      </rPr>
      <t>홍희동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과장</t>
    </r>
    <r>
      <rPr>
        <b/>
        <sz val="10"/>
        <color theme="1"/>
        <rFont val="Meiryo"/>
        <family val="2"/>
      </rPr>
      <t>/</t>
    </r>
    <r>
      <rPr>
        <b/>
        <sz val="10"/>
        <color theme="1"/>
        <rFont val="맑은 고딕"/>
        <family val="2"/>
        <charset val="129"/>
      </rPr>
      <t>김종환</t>
    </r>
    <r>
      <rPr>
        <b/>
        <sz val="10"/>
        <color theme="1"/>
        <rFont val="Meiryo"/>
        <family val="2"/>
      </rPr>
      <t>(</t>
    </r>
    <r>
      <rPr>
        <b/>
        <sz val="10"/>
        <color theme="1"/>
        <rFont val="맑은 고딕"/>
        <family val="2"/>
        <charset val="129"/>
      </rPr>
      <t>비상</t>
    </r>
    <r>
      <rPr>
        <b/>
        <sz val="10"/>
        <color theme="1"/>
        <rFont val="Meiryo"/>
        <family val="2"/>
      </rPr>
      <t>)</t>
    </r>
    <phoneticPr fontId="1" type="noConversion"/>
  </si>
  <si>
    <t>010-9335-7837/010-7700-1321</t>
    <phoneticPr fontId="1" type="noConversion"/>
  </si>
  <si>
    <t>부천</t>
    <phoneticPr fontId="1" type="noConversion"/>
  </si>
  <si>
    <r>
      <rPr>
        <b/>
        <sz val="10"/>
        <color theme="1"/>
        <rFont val="맑은 고딕"/>
        <family val="2"/>
        <charset val="129"/>
      </rPr>
      <t>부천</t>
    </r>
    <r>
      <rPr>
        <b/>
        <sz val="10"/>
        <color theme="1"/>
        <rFont val="Meiryo"/>
        <family val="2"/>
      </rPr>
      <t>BS</t>
    </r>
    <r>
      <rPr>
        <b/>
        <sz val="10"/>
        <color theme="1"/>
        <rFont val="맑은 고딕"/>
        <family val="2"/>
        <charset val="129"/>
      </rPr>
      <t>마트</t>
    </r>
    <phoneticPr fontId="1" type="noConversion"/>
  </si>
  <si>
    <r>
      <rPr>
        <b/>
        <sz val="10"/>
        <color theme="1"/>
        <rFont val="맑은 고딕"/>
        <family val="2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부천시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부광로</t>
    </r>
    <r>
      <rPr>
        <b/>
        <sz val="10"/>
        <color theme="1"/>
        <rFont val="Meiryo"/>
        <family val="2"/>
      </rPr>
      <t xml:space="preserve"> 8</t>
    </r>
    <r>
      <rPr>
        <b/>
        <sz val="10"/>
        <color theme="1"/>
        <rFont val="맑은 고딕"/>
        <family val="2"/>
        <charset val="129"/>
      </rPr>
      <t>번길</t>
    </r>
    <r>
      <rPr>
        <b/>
        <sz val="10"/>
        <color theme="1"/>
        <rFont val="Meiryo"/>
        <family val="2"/>
      </rPr>
      <t xml:space="preserve"> 26 1</t>
    </r>
    <r>
      <rPr>
        <b/>
        <sz val="10"/>
        <color theme="1"/>
        <rFont val="맑은 고딕"/>
        <family val="2"/>
        <charset val="129"/>
      </rPr>
      <t>층</t>
    </r>
    <r>
      <rPr>
        <b/>
        <sz val="10"/>
        <color theme="1"/>
        <rFont val="Meiryo"/>
        <family val="2"/>
      </rPr>
      <t xml:space="preserve"> 101</t>
    </r>
    <r>
      <rPr>
        <b/>
        <sz val="10"/>
        <color theme="1"/>
        <rFont val="맑은 고딕"/>
        <family val="2"/>
        <charset val="129"/>
      </rPr>
      <t>호</t>
    </r>
    <phoneticPr fontId="1" type="noConversion"/>
  </si>
  <si>
    <t>010-5858-0908</t>
    <phoneticPr fontId="1" type="noConversion"/>
  </si>
  <si>
    <t>분당</t>
    <phoneticPr fontId="1" type="noConversion"/>
  </si>
  <si>
    <t>분당국민은행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</si>
  <si>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성남시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분당구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성남대로</t>
    </r>
    <r>
      <rPr>
        <b/>
        <sz val="10"/>
        <color theme="1"/>
        <rFont val="Meiryo"/>
        <family val="2"/>
      </rPr>
      <t xml:space="preserve"> 906 2</t>
    </r>
    <r>
      <rPr>
        <b/>
        <sz val="10"/>
        <color theme="1"/>
        <rFont val="돋움"/>
        <family val="3"/>
        <charset val="129"/>
      </rPr>
      <t>층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국민은행</t>
    </r>
    <phoneticPr fontId="1" type="noConversion"/>
  </si>
  <si>
    <t>010-6217-0314</t>
    <phoneticPr fontId="1" type="noConversion"/>
  </si>
  <si>
    <t>서초</t>
    <phoneticPr fontId="1" type="noConversion"/>
  </si>
  <si>
    <t>서초남태령</t>
    <phoneticPr fontId="1" type="noConversion"/>
  </si>
  <si>
    <r>
      <rPr>
        <b/>
        <sz val="10"/>
        <color rgb="FF000000"/>
        <rFont val="돋움"/>
        <family val="3"/>
        <charset val="129"/>
      </rPr>
      <t>서울특별시</t>
    </r>
    <r>
      <rPr>
        <b/>
        <sz val="10"/>
        <color rgb="FF000000"/>
        <rFont val="Meiryo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서초구</t>
    </r>
    <r>
      <rPr>
        <b/>
        <sz val="10"/>
        <color rgb="FF000000"/>
        <rFont val="Meiryo"/>
        <family val="2"/>
      </rPr>
      <t xml:space="preserve"> </t>
    </r>
    <r>
      <rPr>
        <b/>
        <sz val="10"/>
        <color rgb="FF000000"/>
        <rFont val="돋움"/>
        <family val="3"/>
        <charset val="129"/>
      </rPr>
      <t>과천대로</t>
    </r>
    <r>
      <rPr>
        <b/>
        <sz val="10"/>
        <color rgb="FF000000"/>
        <rFont val="Meiryo"/>
        <family val="2"/>
      </rPr>
      <t xml:space="preserve"> 810</t>
    </r>
  </si>
  <si>
    <t>010-5311-6412</t>
    <phoneticPr fontId="1" type="noConversion"/>
  </si>
  <si>
    <t>성남</t>
    <phoneticPr fontId="1" type="noConversion"/>
  </si>
  <si>
    <t>성남대일후르츠</t>
    <phoneticPr fontId="1" type="noConversion"/>
  </si>
  <si>
    <r>
      <rPr>
        <b/>
        <sz val="10"/>
        <color theme="1"/>
        <rFont val="돋움"/>
        <family val="3"/>
        <charset val="129"/>
      </rPr>
      <t>성남시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수정구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금토동</t>
    </r>
    <r>
      <rPr>
        <b/>
        <sz val="10"/>
        <color theme="1"/>
        <rFont val="Meiryo"/>
        <family val="2"/>
      </rPr>
      <t xml:space="preserve"> 62-6</t>
    </r>
    <r>
      <rPr>
        <b/>
        <sz val="10"/>
        <color theme="1"/>
        <rFont val="돋움"/>
        <family val="3"/>
        <charset val="129"/>
      </rPr>
      <t>번지</t>
    </r>
    <r>
      <rPr>
        <b/>
        <sz val="10"/>
        <color theme="1"/>
        <rFont val="Meiryo"/>
        <family val="2"/>
      </rPr>
      <t xml:space="preserve"> </t>
    </r>
    <phoneticPr fontId="1" type="noConversion"/>
  </si>
  <si>
    <t>정대성</t>
    <phoneticPr fontId="1" type="noConversion"/>
  </si>
  <si>
    <t>010-4059-1641</t>
    <phoneticPr fontId="1" type="noConversion"/>
  </si>
  <si>
    <t>성남만나교회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</si>
  <si>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성남시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분당구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양현로</t>
    </r>
    <r>
      <rPr>
        <b/>
        <sz val="10"/>
        <color theme="1"/>
        <rFont val="Meiryo"/>
        <family val="2"/>
      </rPr>
      <t xml:space="preserve"> 353</t>
    </r>
    <phoneticPr fontId="1" type="noConversion"/>
  </si>
  <si>
    <t>성남어울림</t>
    <phoneticPr fontId="1" type="noConversion"/>
  </si>
  <si>
    <r>
      <rPr>
        <b/>
        <sz val="10"/>
        <color theme="1"/>
        <rFont val="맑은 고딕"/>
        <family val="2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성남시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중원구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상대원동</t>
    </r>
    <r>
      <rPr>
        <b/>
        <sz val="10"/>
        <color theme="1"/>
        <rFont val="Meiryo"/>
        <family val="2"/>
      </rPr>
      <t xml:space="preserve"> 234-1 </t>
    </r>
    <phoneticPr fontId="1" type="noConversion"/>
  </si>
  <si>
    <t>010-9261-1300</t>
    <phoneticPr fontId="1" type="noConversion"/>
  </si>
  <si>
    <t>성남에벤에셀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</si>
  <si>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성남시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중원구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은행동</t>
    </r>
    <r>
      <rPr>
        <b/>
        <sz val="10"/>
        <color theme="1"/>
        <rFont val="Meiryo"/>
        <family val="2"/>
      </rPr>
      <t xml:space="preserve"> 701</t>
    </r>
    <r>
      <rPr>
        <b/>
        <sz val="10"/>
        <color theme="1"/>
        <rFont val="돋움"/>
        <family val="3"/>
        <charset val="129"/>
      </rPr>
      <t>번지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거성빌딩</t>
    </r>
    <r>
      <rPr>
        <b/>
        <sz val="10"/>
        <color theme="1"/>
        <rFont val="Meiryo"/>
        <family val="2"/>
      </rPr>
      <t xml:space="preserve"> 1</t>
    </r>
    <r>
      <rPr>
        <b/>
        <sz val="10"/>
        <color theme="1"/>
        <rFont val="돋움"/>
        <family val="3"/>
        <charset val="129"/>
      </rPr>
      <t>층</t>
    </r>
    <r>
      <rPr>
        <b/>
        <sz val="10"/>
        <color theme="1"/>
        <rFont val="Meiryo"/>
        <family val="2"/>
      </rPr>
      <t xml:space="preserve"> </t>
    </r>
    <phoneticPr fontId="1" type="noConversion"/>
  </si>
  <si>
    <t>성남한가득</t>
    <phoneticPr fontId="1" type="noConversion"/>
  </si>
  <si>
    <r>
      <rPr>
        <b/>
        <sz val="10"/>
        <color theme="1"/>
        <rFont val="맑은 고딕"/>
        <family val="2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성남시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중원구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도촌로</t>
    </r>
    <r>
      <rPr>
        <b/>
        <sz val="10"/>
        <color theme="1"/>
        <rFont val="Meiryo"/>
        <family val="2"/>
      </rPr>
      <t>7</t>
    </r>
    <r>
      <rPr>
        <b/>
        <sz val="10"/>
        <color theme="1"/>
        <rFont val="맑은 고딕"/>
        <family val="2"/>
        <charset val="129"/>
      </rPr>
      <t>번길</t>
    </r>
    <r>
      <rPr>
        <b/>
        <sz val="10"/>
        <color theme="1"/>
        <rFont val="Meiryo"/>
        <family val="2"/>
      </rPr>
      <t xml:space="preserve"> 22-1</t>
    </r>
  </si>
  <si>
    <t>031-722-3390</t>
    <phoneticPr fontId="1" type="noConversion"/>
  </si>
  <si>
    <t>수원</t>
    <phoneticPr fontId="1" type="noConversion"/>
  </si>
  <si>
    <t>수원경기청과</t>
    <phoneticPr fontId="1" type="noConversion"/>
  </si>
  <si>
    <r>
      <rPr>
        <b/>
        <sz val="10"/>
        <color theme="1"/>
        <rFont val="맑은 고딕"/>
        <family val="2"/>
        <charset val="129"/>
      </rPr>
      <t>수원시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권선구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세권로</t>
    </r>
    <r>
      <rPr>
        <b/>
        <sz val="10"/>
        <color theme="1"/>
        <rFont val="Meiryo"/>
        <family val="2"/>
      </rPr>
      <t xml:space="preserve"> 243</t>
    </r>
    <phoneticPr fontId="1" type="noConversion"/>
  </si>
  <si>
    <t>031-236-3700</t>
    <phoneticPr fontId="1" type="noConversion"/>
  </si>
  <si>
    <t>순천</t>
    <phoneticPr fontId="1" type="noConversion"/>
  </si>
  <si>
    <t>순천순천원예농협</t>
    <phoneticPr fontId="1" type="noConversion"/>
  </si>
  <si>
    <t>전남 순천시 해룡면 월전리 9-1</t>
  </si>
  <si>
    <t>시흥</t>
    <phoneticPr fontId="1" type="noConversion"/>
  </si>
  <si>
    <t>시흥시흥청과</t>
    <phoneticPr fontId="1" type="noConversion"/>
  </si>
  <si>
    <r>
      <rPr>
        <b/>
        <sz val="10"/>
        <color theme="1"/>
        <rFont val="맑은 고딕"/>
        <family val="2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시흥시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방산동</t>
    </r>
    <r>
      <rPr>
        <b/>
        <sz val="10"/>
        <color theme="1"/>
        <rFont val="Meiryo"/>
        <family val="2"/>
      </rPr>
      <t xml:space="preserve"> 501 </t>
    </r>
    <r>
      <rPr>
        <b/>
        <sz val="10"/>
        <color theme="1"/>
        <rFont val="맑은 고딕"/>
        <family val="2"/>
        <charset val="129"/>
      </rPr>
      <t>시흥청과</t>
    </r>
    <phoneticPr fontId="1" type="noConversion"/>
  </si>
  <si>
    <t>성기현</t>
    <phoneticPr fontId="1" type="noConversion"/>
  </si>
  <si>
    <t>010-2316-2375</t>
    <phoneticPr fontId="1" type="noConversion"/>
  </si>
  <si>
    <t>시흥에벤에셀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</si>
  <si>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시흥시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광석동</t>
    </r>
    <r>
      <rPr>
        <b/>
        <sz val="10"/>
        <color theme="1"/>
        <rFont val="Meiryo"/>
        <family val="2"/>
      </rPr>
      <t xml:space="preserve"> 118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</si>
  <si>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010-2298-3234</t>
    <phoneticPr fontId="1" type="noConversion"/>
  </si>
  <si>
    <r>
      <rPr>
        <b/>
        <sz val="10"/>
        <color theme="1"/>
        <rFont val="돋움"/>
        <family val="3"/>
        <charset val="129"/>
      </rPr>
      <t>경기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시흥시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포동</t>
    </r>
    <r>
      <rPr>
        <b/>
        <sz val="10"/>
        <color theme="1"/>
        <rFont val="Meiryo"/>
        <family val="2"/>
      </rPr>
      <t xml:space="preserve"> 20-29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</si>
  <si>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시흥행운청과</t>
    <phoneticPr fontId="1" type="noConversion"/>
  </si>
  <si>
    <r>
      <rPr>
        <b/>
        <sz val="10"/>
        <color theme="1"/>
        <rFont val="돋움"/>
        <family val="3"/>
        <charset val="129"/>
      </rPr>
      <t>군자동</t>
    </r>
    <r>
      <rPr>
        <b/>
        <sz val="10"/>
        <color theme="1"/>
        <rFont val="Meiryo"/>
        <family val="2"/>
      </rPr>
      <t xml:space="preserve"> 94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</si>
  <si>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010-3738-6648</t>
    <phoneticPr fontId="1" type="noConversion"/>
  </si>
  <si>
    <r>
      <rPr>
        <b/>
        <sz val="10"/>
        <color theme="1"/>
        <rFont val="돋움"/>
        <family val="3"/>
        <charset val="129"/>
      </rPr>
      <t>경기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시흥시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군자동</t>
    </r>
    <r>
      <rPr>
        <b/>
        <sz val="10"/>
        <color theme="1"/>
        <rFont val="Meiryo"/>
        <family val="2"/>
      </rPr>
      <t xml:space="preserve"> 94</t>
    </r>
    <phoneticPr fontId="1" type="noConversion"/>
  </si>
  <si>
    <t>시흥황금물산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</si>
  <si>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시흥시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논곡동</t>
    </r>
    <r>
      <rPr>
        <b/>
        <sz val="10"/>
        <color theme="1"/>
        <rFont val="Meiryo"/>
        <family val="2"/>
      </rPr>
      <t xml:space="preserve"> 69-6 </t>
    </r>
    <phoneticPr fontId="1" type="noConversion"/>
  </si>
  <si>
    <t>010-7714-4488</t>
  </si>
  <si>
    <t>안산</t>
    <phoneticPr fontId="1" type="noConversion"/>
  </si>
  <si>
    <t>안산무진팜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</si>
  <si>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안산시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상록구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이동</t>
    </r>
    <r>
      <rPr>
        <b/>
        <sz val="10"/>
        <color theme="1"/>
        <rFont val="Meiryo"/>
        <family val="2"/>
      </rPr>
      <t xml:space="preserve"> 528</t>
    </r>
    <r>
      <rPr>
        <b/>
        <sz val="10"/>
        <color theme="1"/>
        <rFont val="돋움"/>
        <family val="3"/>
        <charset val="129"/>
      </rPr>
      <t>번지</t>
    </r>
  </si>
  <si>
    <t>안산안산청과</t>
    <phoneticPr fontId="1" type="noConversion"/>
  </si>
  <si>
    <r>
      <rPr>
        <b/>
        <sz val="10"/>
        <color theme="1"/>
        <rFont val="맑은 고딕"/>
        <family val="2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안산시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상록구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충장로</t>
    </r>
    <r>
      <rPr>
        <b/>
        <sz val="10"/>
        <color theme="1"/>
        <rFont val="Meiryo"/>
        <family val="2"/>
      </rPr>
      <t>312(</t>
    </r>
    <r>
      <rPr>
        <b/>
        <sz val="10"/>
        <color theme="1"/>
        <rFont val="맑은 고딕"/>
        <family val="2"/>
        <charset val="129"/>
      </rPr>
      <t>이동</t>
    </r>
    <r>
      <rPr>
        <b/>
        <sz val="10"/>
        <color theme="1"/>
        <rFont val="Meiryo"/>
        <family val="2"/>
      </rPr>
      <t>)</t>
    </r>
  </si>
  <si>
    <t>010-3731-2848</t>
    <phoneticPr fontId="1" type="noConversion"/>
  </si>
  <si>
    <t>안양</t>
    <phoneticPr fontId="1" type="noConversion"/>
  </si>
  <si>
    <t>안양영풍</t>
    <phoneticPr fontId="1" type="noConversion"/>
  </si>
  <si>
    <t>용인</t>
    <phoneticPr fontId="1" type="noConversion"/>
  </si>
  <si>
    <t>용인고당도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</si>
  <si>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용인시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처인구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역북동</t>
    </r>
    <r>
      <rPr>
        <b/>
        <sz val="10"/>
        <color theme="1"/>
        <rFont val="Meiryo"/>
        <family val="2"/>
      </rPr>
      <t xml:space="preserve"> 504-13 </t>
    </r>
    <r>
      <rPr>
        <b/>
        <sz val="10"/>
        <color theme="1"/>
        <rFont val="돋움"/>
        <family val="3"/>
        <charset val="129"/>
      </rPr>
      <t>고당도</t>
    </r>
    <phoneticPr fontId="1" type="noConversion"/>
  </si>
  <si>
    <t>010-7128-4914</t>
    <phoneticPr fontId="1" type="noConversion"/>
  </si>
  <si>
    <t>용인빅푸드인터네셔날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</si>
  <si>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용인시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기흥구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공세로</t>
    </r>
    <r>
      <rPr>
        <b/>
        <sz val="10"/>
        <color theme="1"/>
        <rFont val="Meiryo"/>
        <family val="2"/>
      </rPr>
      <t xml:space="preserve"> 22</t>
    </r>
    <phoneticPr fontId="1" type="noConversion"/>
  </si>
  <si>
    <t>음성</t>
    <phoneticPr fontId="1" type="noConversion"/>
  </si>
  <si>
    <t>음성과일향기</t>
    <phoneticPr fontId="1" type="noConversion"/>
  </si>
  <si>
    <r>
      <rPr>
        <b/>
        <sz val="10"/>
        <color theme="1"/>
        <rFont val="돋움"/>
        <family val="3"/>
        <charset val="129"/>
      </rPr>
      <t>충북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음성군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감곡면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오궁리</t>
    </r>
    <r>
      <rPr>
        <b/>
        <sz val="10"/>
        <color theme="1"/>
        <rFont val="Meiryo"/>
        <family val="2"/>
      </rPr>
      <t xml:space="preserve"> 163-2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</si>
  <si>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r>
      <rPr>
        <b/>
        <sz val="10"/>
        <color theme="1"/>
        <rFont val="돋움"/>
        <family val="3"/>
        <charset val="129"/>
      </rPr>
      <t>주간</t>
    </r>
    <r>
      <rPr>
        <b/>
        <sz val="10"/>
        <color theme="1"/>
        <rFont val="Meiryo"/>
        <family val="2"/>
      </rPr>
      <t>:</t>
    </r>
    <r>
      <rPr>
        <b/>
        <sz val="10"/>
        <color theme="1"/>
        <rFont val="돋움"/>
        <family val="3"/>
        <charset val="129"/>
      </rPr>
      <t>이희권</t>
    </r>
    <r>
      <rPr>
        <b/>
        <sz val="10"/>
        <color theme="1"/>
        <rFont val="Meiryo"/>
        <family val="2"/>
      </rPr>
      <t>/</t>
    </r>
    <r>
      <rPr>
        <b/>
        <sz val="10"/>
        <color theme="1"/>
        <rFont val="돋움"/>
        <family val="3"/>
        <charset val="129"/>
      </rPr>
      <t>야간</t>
    </r>
    <r>
      <rPr>
        <b/>
        <sz val="10"/>
        <color theme="1"/>
        <rFont val="Meiryo"/>
        <family val="2"/>
      </rPr>
      <t>:</t>
    </r>
    <r>
      <rPr>
        <b/>
        <sz val="10"/>
        <color theme="1"/>
        <rFont val="돋움"/>
        <family val="3"/>
        <charset val="129"/>
      </rPr>
      <t>서민호</t>
    </r>
    <phoneticPr fontId="1" type="noConversion"/>
  </si>
  <si>
    <r>
      <rPr>
        <b/>
        <sz val="10"/>
        <color theme="1"/>
        <rFont val="돋움"/>
        <family val="3"/>
        <charset val="129"/>
      </rPr>
      <t>주간</t>
    </r>
    <r>
      <rPr>
        <b/>
        <sz val="10"/>
        <color theme="1"/>
        <rFont val="Meiryo"/>
        <family val="2"/>
      </rPr>
      <t>:010-8450-5501</t>
    </r>
    <r>
      <rPr>
        <b/>
        <sz val="10"/>
        <color theme="1"/>
        <rFont val="돋움"/>
        <family val="3"/>
        <charset val="129"/>
      </rPr>
      <t>야간</t>
    </r>
    <r>
      <rPr>
        <b/>
        <sz val="10"/>
        <color theme="1"/>
        <rFont val="Meiryo"/>
        <family val="2"/>
      </rPr>
      <t>:010-4413-8868</t>
    </r>
    <phoneticPr fontId="1" type="noConversion"/>
  </si>
  <si>
    <t>이천</t>
    <phoneticPr fontId="1" type="noConversion"/>
  </si>
  <si>
    <r>
      <rPr>
        <b/>
        <sz val="10"/>
        <color theme="1"/>
        <rFont val="맑은 고딕"/>
        <family val="2"/>
        <charset val="129"/>
      </rPr>
      <t>이천</t>
    </r>
    <r>
      <rPr>
        <b/>
        <sz val="10"/>
        <color theme="1"/>
        <rFont val="Meiryo"/>
        <family val="2"/>
      </rPr>
      <t>GM</t>
    </r>
    <r>
      <rPr>
        <b/>
        <sz val="10"/>
        <color theme="1"/>
        <rFont val="맑은 고딕"/>
        <family val="2"/>
        <charset val="129"/>
      </rPr>
      <t>상회</t>
    </r>
    <phoneticPr fontId="1" type="noConversion"/>
  </si>
  <si>
    <r>
      <rPr>
        <b/>
        <sz val="10"/>
        <color theme="1"/>
        <rFont val="맑은 고딕"/>
        <family val="2"/>
        <charset val="129"/>
      </rPr>
      <t>이천시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증포동</t>
    </r>
    <r>
      <rPr>
        <b/>
        <sz val="10"/>
        <color theme="1"/>
        <rFont val="Meiryo"/>
        <family val="2"/>
      </rPr>
      <t xml:space="preserve"> 32-7(</t>
    </r>
    <r>
      <rPr>
        <b/>
        <sz val="10"/>
        <color theme="1"/>
        <rFont val="맑은 고딕"/>
        <family val="2"/>
        <charset val="129"/>
      </rPr>
      <t>이천시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증신로</t>
    </r>
    <r>
      <rPr>
        <b/>
        <sz val="10"/>
        <color theme="1"/>
        <rFont val="Meiryo"/>
        <family val="2"/>
      </rPr>
      <t xml:space="preserve"> 153</t>
    </r>
    <r>
      <rPr>
        <b/>
        <sz val="10"/>
        <color theme="1"/>
        <rFont val="맑은 고딕"/>
        <family val="2"/>
        <charset val="129"/>
      </rPr>
      <t>번길</t>
    </r>
    <r>
      <rPr>
        <b/>
        <sz val="10"/>
        <color theme="1"/>
        <rFont val="Meiryo"/>
        <family val="2"/>
      </rPr>
      <t xml:space="preserve"> 32-7)</t>
    </r>
    <phoneticPr fontId="1" type="noConversion"/>
  </si>
  <si>
    <t>010-3509-1276</t>
    <phoneticPr fontId="1" type="noConversion"/>
  </si>
  <si>
    <r>
      <rPr>
        <b/>
        <sz val="10"/>
        <color theme="1"/>
        <rFont val="돋움"/>
        <family val="3"/>
        <charset val="129"/>
      </rPr>
      <t>이천</t>
    </r>
    <r>
      <rPr>
        <b/>
        <sz val="10"/>
        <color theme="1"/>
        <rFont val="Meiryo"/>
        <family val="2"/>
      </rPr>
      <t/>
    </r>
    <phoneticPr fontId="1" type="noConversion"/>
  </si>
  <si>
    <t>이천동우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</si>
  <si>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이천시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마장면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이치리</t>
    </r>
    <r>
      <rPr>
        <b/>
        <sz val="10"/>
        <color theme="1"/>
        <rFont val="Meiryo"/>
        <family val="2"/>
      </rPr>
      <t xml:space="preserve"> 446-3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</si>
  <si>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r>
      <rPr>
        <b/>
        <sz val="10"/>
        <color theme="1"/>
        <rFont val="돋움"/>
        <family val="3"/>
        <charset val="129"/>
      </rPr>
      <t>이천</t>
    </r>
    <r>
      <rPr>
        <b/>
        <sz val="10"/>
        <color theme="1"/>
        <rFont val="Meiryo"/>
        <family val="2"/>
      </rPr>
      <t>(</t>
    </r>
    <r>
      <rPr>
        <b/>
        <sz val="10"/>
        <color theme="1"/>
        <rFont val="돋움"/>
        <family val="3"/>
        <charset val="129"/>
      </rPr>
      <t>익일오전</t>
    </r>
    <r>
      <rPr>
        <b/>
        <sz val="10"/>
        <color theme="1"/>
        <rFont val="Meiryo"/>
        <family val="2"/>
      </rPr>
      <t>)</t>
    </r>
    <phoneticPr fontId="1" type="noConversion"/>
  </si>
  <si>
    <t>이천(익일오전)동우</t>
    <phoneticPr fontId="1" type="noConversion"/>
  </si>
  <si>
    <t>경기도 이천시 마장면 이치리 446-3번지</t>
  </si>
  <si>
    <t>이천신평아이엔티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</si>
  <si>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이천시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신둔면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용면리</t>
    </r>
    <r>
      <rPr>
        <b/>
        <sz val="10"/>
        <color theme="1"/>
        <rFont val="Meiryo"/>
        <family val="2"/>
      </rPr>
      <t xml:space="preserve"> 72-29</t>
    </r>
    <phoneticPr fontId="1" type="noConversion"/>
  </si>
  <si>
    <t>010-8764-6764</t>
    <phoneticPr fontId="1" type="noConversion"/>
  </si>
  <si>
    <t>인천</t>
    <phoneticPr fontId="1" type="noConversion"/>
  </si>
  <si>
    <t>인천경인농산</t>
    <phoneticPr fontId="1" type="noConversion"/>
  </si>
  <si>
    <r>
      <rPr>
        <b/>
        <sz val="10"/>
        <color theme="1"/>
        <rFont val="돋움"/>
        <family val="3"/>
        <charset val="129"/>
      </rPr>
      <t>인천시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부평구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삼산동</t>
    </r>
    <r>
      <rPr>
        <b/>
        <sz val="10"/>
        <color theme="1"/>
        <rFont val="Meiryo"/>
        <family val="2"/>
      </rPr>
      <t xml:space="preserve"> 7</t>
    </r>
    <phoneticPr fontId="1" type="noConversion"/>
  </si>
  <si>
    <t>032-507-6800</t>
    <phoneticPr fontId="1" type="noConversion"/>
  </si>
  <si>
    <t>인천남촌덕풍청과</t>
    <phoneticPr fontId="1" type="noConversion"/>
  </si>
  <si>
    <r>
      <rPr>
        <b/>
        <sz val="10"/>
        <color theme="1"/>
        <rFont val="돋움"/>
        <family val="3"/>
        <charset val="129"/>
      </rPr>
      <t>인천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남동구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비류대로</t>
    </r>
    <r>
      <rPr>
        <b/>
        <sz val="10"/>
        <color theme="1"/>
        <rFont val="Meiryo"/>
        <family val="2"/>
      </rPr>
      <t xml:space="preserve"> 763(</t>
    </r>
    <r>
      <rPr>
        <b/>
        <sz val="10"/>
        <color theme="1"/>
        <rFont val="돋움"/>
        <family val="3"/>
        <charset val="129"/>
      </rPr>
      <t>남촌동</t>
    </r>
    <r>
      <rPr>
        <b/>
        <sz val="10"/>
        <color theme="1"/>
        <rFont val="Meiryo"/>
        <family val="2"/>
      </rPr>
      <t>177-1)</t>
    </r>
    <phoneticPr fontId="1" type="noConversion"/>
  </si>
  <si>
    <t>인천남촌인천농산물</t>
    <phoneticPr fontId="1" type="noConversion"/>
  </si>
  <si>
    <t>032-421-3765</t>
  </si>
  <si>
    <t>인천원예농협</t>
    <phoneticPr fontId="1" type="noConversion"/>
  </si>
  <si>
    <t>010-9062-8585</t>
    <phoneticPr fontId="1" type="noConversion"/>
  </si>
  <si>
    <t>인천인천원협</t>
    <phoneticPr fontId="1" type="noConversion"/>
  </si>
  <si>
    <r>
      <rPr>
        <b/>
        <sz val="10"/>
        <color theme="1"/>
        <rFont val="돋움"/>
        <family val="3"/>
        <charset val="129"/>
      </rPr>
      <t>인천시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부평구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삼산동</t>
    </r>
    <r>
      <rPr>
        <b/>
        <sz val="10"/>
        <color theme="1"/>
        <rFont val="Meiryo"/>
        <family val="2"/>
      </rPr>
      <t xml:space="preserve"> 7-1</t>
    </r>
  </si>
  <si>
    <t>인천한일농산</t>
    <phoneticPr fontId="1" type="noConversion"/>
  </si>
  <si>
    <r>
      <rPr>
        <b/>
        <sz val="10"/>
        <color theme="1"/>
        <rFont val="돋움"/>
        <family val="3"/>
        <charset val="129"/>
      </rPr>
      <t>인천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남구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석정로</t>
    </r>
    <r>
      <rPr>
        <b/>
        <sz val="10"/>
        <color theme="1"/>
        <rFont val="Meiryo"/>
        <family val="2"/>
      </rPr>
      <t xml:space="preserve"> 102</t>
    </r>
    <r>
      <rPr>
        <b/>
        <sz val="10"/>
        <color theme="1"/>
        <rFont val="돋움"/>
        <family val="3"/>
        <charset val="129"/>
      </rPr>
      <t>번길</t>
    </r>
    <r>
      <rPr>
        <b/>
        <sz val="10"/>
        <color theme="1"/>
        <rFont val="Meiryo"/>
        <family val="2"/>
      </rPr>
      <t xml:space="preserve"> 10 </t>
    </r>
    <r>
      <rPr>
        <b/>
        <sz val="10"/>
        <color theme="1"/>
        <rFont val="돋움"/>
        <family val="3"/>
        <charset val="129"/>
      </rPr>
      <t>한일농산</t>
    </r>
    <r>
      <rPr>
        <b/>
        <sz val="10"/>
        <color theme="1"/>
        <rFont val="Meiryo"/>
        <family val="2"/>
      </rPr>
      <t xml:space="preserve"> </t>
    </r>
    <phoneticPr fontId="1" type="noConversion"/>
  </si>
  <si>
    <t>010-2953-4847</t>
  </si>
  <si>
    <t>인천숭의동</t>
    <phoneticPr fontId="1" type="noConversion"/>
  </si>
  <si>
    <r>
      <rPr>
        <b/>
        <sz val="10"/>
        <color theme="1"/>
        <rFont val="돋움"/>
        <family val="3"/>
        <charset val="129"/>
      </rPr>
      <t>인천시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남구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숭의동</t>
    </r>
    <r>
      <rPr>
        <b/>
        <sz val="10"/>
        <color theme="1"/>
        <rFont val="Meiryo"/>
        <family val="2"/>
      </rPr>
      <t>81-6</t>
    </r>
    <phoneticPr fontId="1" type="noConversion"/>
  </si>
  <si>
    <t>노조반장</t>
    <phoneticPr fontId="1" type="noConversion"/>
  </si>
  <si>
    <t>010 8442 2050</t>
    <phoneticPr fontId="1" type="noConversion"/>
  </si>
  <si>
    <t>일산</t>
    <phoneticPr fontId="1" type="noConversion"/>
  </si>
  <si>
    <t>일산망고세상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</si>
  <si>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고양시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일산동구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설문동</t>
    </r>
    <r>
      <rPr>
        <b/>
        <sz val="10"/>
        <color theme="1"/>
        <rFont val="Meiryo"/>
        <family val="2"/>
      </rPr>
      <t xml:space="preserve"> 1149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</si>
  <si>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전남광주</t>
    <phoneticPr fontId="1" type="noConversion"/>
  </si>
  <si>
    <t>전남광주무등시설원</t>
    <phoneticPr fontId="1" type="noConversion"/>
  </si>
  <si>
    <r>
      <rPr>
        <b/>
        <sz val="10"/>
        <color theme="1"/>
        <rFont val="돋움"/>
        <family val="3"/>
        <charset val="129"/>
      </rPr>
      <t>광주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남구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구소동</t>
    </r>
    <r>
      <rPr>
        <b/>
        <sz val="10"/>
        <color theme="1"/>
        <rFont val="Meiryo"/>
        <family val="2"/>
      </rPr>
      <t xml:space="preserve"> 384-1 </t>
    </r>
    <phoneticPr fontId="1" type="noConversion"/>
  </si>
  <si>
    <t>조인배</t>
    <phoneticPr fontId="1" type="noConversion"/>
  </si>
  <si>
    <t>011-9956-1410</t>
    <phoneticPr fontId="1" type="noConversion"/>
  </si>
  <si>
    <t>전남광주서부농협</t>
    <phoneticPr fontId="1" type="noConversion"/>
  </si>
  <si>
    <r>
      <rPr>
        <b/>
        <sz val="10"/>
        <color theme="1"/>
        <rFont val="돋움"/>
        <family val="3"/>
        <charset val="129"/>
      </rPr>
      <t>광주광역시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매월</t>
    </r>
    <r>
      <rPr>
        <b/>
        <sz val="10"/>
        <color theme="1"/>
        <rFont val="Meiryo"/>
        <family val="2"/>
      </rPr>
      <t>2</t>
    </r>
    <r>
      <rPr>
        <b/>
        <sz val="10"/>
        <color theme="1"/>
        <rFont val="돋움"/>
        <family val="3"/>
        <charset val="129"/>
      </rPr>
      <t>로</t>
    </r>
    <r>
      <rPr>
        <b/>
        <sz val="10"/>
        <color theme="1"/>
        <rFont val="Meiryo"/>
        <family val="2"/>
      </rPr>
      <t xml:space="preserve"> 16</t>
    </r>
    <r>
      <rPr>
        <b/>
        <sz val="10"/>
        <color theme="1"/>
        <rFont val="돋움"/>
        <family val="3"/>
        <charset val="129"/>
      </rPr>
      <t>번길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서부농산물도매시장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내</t>
    </r>
    <r>
      <rPr>
        <b/>
        <sz val="10"/>
        <color theme="1"/>
        <rFont val="Meiryo"/>
        <family val="2"/>
      </rPr>
      <t xml:space="preserve"> (062-651-4900)</t>
    </r>
    <phoneticPr fontId="1" type="noConversion"/>
  </si>
  <si>
    <r>
      <rPr>
        <b/>
        <sz val="10"/>
        <color theme="1"/>
        <rFont val="돋움"/>
        <family val="3"/>
        <charset val="129"/>
      </rPr>
      <t>정유호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과장</t>
    </r>
    <phoneticPr fontId="1" type="noConversion"/>
  </si>
  <si>
    <t>010-3648-3483</t>
    <phoneticPr fontId="1" type="noConversion"/>
  </si>
  <si>
    <t>전주</t>
    <phoneticPr fontId="1" type="noConversion"/>
  </si>
  <si>
    <t>전주과일사랑</t>
    <phoneticPr fontId="1" type="noConversion"/>
  </si>
  <si>
    <r>
      <rPr>
        <b/>
        <sz val="10"/>
        <color theme="1"/>
        <rFont val="돋움"/>
        <family val="3"/>
        <charset val="129"/>
      </rPr>
      <t>전북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완주군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삼례읍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해전리</t>
    </r>
    <r>
      <rPr>
        <b/>
        <sz val="10"/>
        <color theme="1"/>
        <rFont val="Meiryo"/>
        <family val="2"/>
      </rPr>
      <t xml:space="preserve"> 232-1 ,</t>
    </r>
    <r>
      <rPr>
        <b/>
        <sz val="10"/>
        <color theme="1"/>
        <rFont val="돋움"/>
        <family val="3"/>
        <charset val="129"/>
      </rPr>
      <t>과일사랑창고</t>
    </r>
    <phoneticPr fontId="1" type="noConversion"/>
  </si>
  <si>
    <t>010-3653-8722</t>
    <phoneticPr fontId="1" type="noConversion"/>
  </si>
  <si>
    <t>전주다농마트</t>
    <phoneticPr fontId="1" type="noConversion"/>
  </si>
  <si>
    <r>
      <rPr>
        <b/>
        <sz val="10"/>
        <color theme="1"/>
        <rFont val="돋움"/>
        <family val="3"/>
        <charset val="129"/>
      </rPr>
      <t>전북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전주시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덕진구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시천로</t>
    </r>
    <r>
      <rPr>
        <b/>
        <sz val="10"/>
        <color theme="1"/>
        <rFont val="Meiryo"/>
        <family val="2"/>
      </rPr>
      <t xml:space="preserve"> 96-14</t>
    </r>
    <phoneticPr fontId="1" type="noConversion"/>
  </si>
  <si>
    <t>전주전주농협</t>
    <phoneticPr fontId="1" type="noConversion"/>
  </si>
  <si>
    <r>
      <rPr>
        <b/>
        <sz val="10"/>
        <color theme="1"/>
        <rFont val="맑은 고딕"/>
        <family val="2"/>
        <charset val="129"/>
      </rPr>
      <t>전주시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완산구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삼천동</t>
    </r>
    <r>
      <rPr>
        <b/>
        <sz val="10"/>
        <color theme="1"/>
        <rFont val="Meiryo"/>
        <family val="2"/>
      </rPr>
      <t xml:space="preserve"> 2</t>
    </r>
    <r>
      <rPr>
        <b/>
        <sz val="10"/>
        <color theme="1"/>
        <rFont val="맑은 고딕"/>
        <family val="2"/>
        <charset val="129"/>
      </rPr>
      <t>가</t>
    </r>
    <r>
      <rPr>
        <b/>
        <sz val="10"/>
        <color theme="1"/>
        <rFont val="Meiryo"/>
        <family val="2"/>
      </rPr>
      <t xml:space="preserve"> 18</t>
    </r>
    <phoneticPr fontId="1" type="noConversion"/>
  </si>
  <si>
    <t>전주한백상사</t>
  </si>
  <si>
    <t>전주시 덕진구 우아동 3가 754-9 (도당산로4)</t>
  </si>
  <si>
    <t>한백사모님</t>
    <phoneticPr fontId="1" type="noConversion"/>
  </si>
  <si>
    <t>010-2847-0129</t>
    <phoneticPr fontId="1" type="noConversion"/>
  </si>
  <si>
    <t>진주</t>
    <phoneticPr fontId="1" type="noConversion"/>
  </si>
  <si>
    <t>진주진주원예</t>
    <phoneticPr fontId="1" type="noConversion"/>
  </si>
  <si>
    <t xml:space="preserve">진주시 남강로 1689(처존동) </t>
  </si>
  <si>
    <t>055-759-5678</t>
  </si>
  <si>
    <t>창원</t>
    <phoneticPr fontId="1" type="noConversion"/>
  </si>
  <si>
    <t>창원농협창원공판장</t>
    <phoneticPr fontId="1" type="noConversion"/>
  </si>
  <si>
    <r>
      <rPr>
        <b/>
        <sz val="10"/>
        <color theme="1"/>
        <rFont val="돋움"/>
        <family val="3"/>
        <charset val="129"/>
      </rPr>
      <t>경남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창원시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의창구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차상로</t>
    </r>
    <r>
      <rPr>
        <b/>
        <sz val="10"/>
        <color theme="1"/>
        <rFont val="Meiryo"/>
        <family val="2"/>
      </rPr>
      <t xml:space="preserve"> 18</t>
    </r>
    <r>
      <rPr>
        <b/>
        <sz val="10"/>
        <color theme="1"/>
        <rFont val="돋움"/>
        <family val="3"/>
        <charset val="129"/>
      </rPr>
      <t>번길</t>
    </r>
    <r>
      <rPr>
        <b/>
        <sz val="10"/>
        <color theme="1"/>
        <rFont val="Meiryo"/>
        <family val="2"/>
      </rPr>
      <t xml:space="preserve"> 45 </t>
    </r>
    <phoneticPr fontId="1" type="noConversion"/>
  </si>
  <si>
    <t>055-288-2131</t>
  </si>
  <si>
    <t>천안</t>
    <phoneticPr fontId="1" type="noConversion"/>
  </si>
  <si>
    <t>천안영풍</t>
    <phoneticPr fontId="1" type="noConversion"/>
  </si>
  <si>
    <t xml:space="preserve">충남 천안시 서북구 성환읍 안궁2길 8 </t>
  </si>
  <si>
    <t>010-9180-6029</t>
  </si>
  <si>
    <t>청주</t>
    <phoneticPr fontId="1" type="noConversion"/>
  </si>
  <si>
    <t>청주청주원협</t>
  </si>
  <si>
    <t>청주시 흥덕구 봉명2동 2210</t>
  </si>
  <si>
    <t>043-266-3114</t>
    <phoneticPr fontId="1" type="noConversion"/>
  </si>
  <si>
    <t>충주</t>
    <phoneticPr fontId="1" type="noConversion"/>
  </si>
  <si>
    <t>충주충주원협</t>
    <phoneticPr fontId="1" type="noConversion"/>
  </si>
  <si>
    <r>
      <rPr>
        <b/>
        <sz val="10"/>
        <color rgb="FF000000"/>
        <rFont val="돋움"/>
        <family val="3"/>
        <charset val="129"/>
      </rPr>
      <t>충청북도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충주시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목행동</t>
    </r>
    <r>
      <rPr>
        <b/>
        <sz val="10"/>
        <color rgb="FF000000"/>
        <rFont val="Meiryo"/>
        <family val="2"/>
        <charset val="128"/>
      </rPr>
      <t xml:space="preserve"> 426-4 </t>
    </r>
  </si>
  <si>
    <t>043-853-6858</t>
    <phoneticPr fontId="1" type="noConversion"/>
  </si>
  <si>
    <t>포항</t>
    <phoneticPr fontId="1" type="noConversion"/>
  </si>
  <si>
    <t>포항하늘사랑</t>
    <phoneticPr fontId="1" type="noConversion"/>
  </si>
  <si>
    <r>
      <rPr>
        <b/>
        <sz val="10"/>
        <color theme="1"/>
        <rFont val="돋움"/>
        <family val="3"/>
        <charset val="129"/>
      </rPr>
      <t>포항시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북구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기계면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지가리</t>
    </r>
    <r>
      <rPr>
        <b/>
        <sz val="10"/>
        <color theme="1"/>
        <rFont val="Meiryo"/>
        <family val="2"/>
      </rPr>
      <t xml:space="preserve"> 1071-1 </t>
    </r>
    <phoneticPr fontId="1" type="noConversion"/>
  </si>
  <si>
    <t>010-5756-9707</t>
  </si>
  <si>
    <t>하남</t>
    <phoneticPr fontId="1" type="noConversion"/>
  </si>
  <si>
    <t>하남과일향기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</si>
  <si>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하남시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감북동</t>
    </r>
    <r>
      <rPr>
        <b/>
        <sz val="10"/>
        <color theme="1"/>
        <rFont val="Meiryo"/>
        <family val="2"/>
      </rPr>
      <t xml:space="preserve"> 339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</si>
  <si>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화성</t>
    <phoneticPr fontId="1" type="noConversion"/>
  </si>
  <si>
    <t>화성국제유통</t>
    <phoneticPr fontId="1" type="noConversion"/>
  </si>
  <si>
    <r>
      <rPr>
        <b/>
        <sz val="10"/>
        <color theme="1"/>
        <rFont val="맑은 고딕"/>
        <family val="2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화성시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정남면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내향로</t>
    </r>
    <r>
      <rPr>
        <b/>
        <sz val="10"/>
        <color theme="1"/>
        <rFont val="Meiryo"/>
        <family val="2"/>
      </rPr>
      <t xml:space="preserve"> 56</t>
    </r>
    <phoneticPr fontId="1" type="noConversion"/>
  </si>
  <si>
    <t>070-4176-4077</t>
    <phoneticPr fontId="1" type="noConversion"/>
  </si>
  <si>
    <t>전남</t>
    <phoneticPr fontId="1" type="noConversion"/>
  </si>
  <si>
    <t>전남담양수민수산</t>
    <phoneticPr fontId="1" type="noConversion"/>
  </si>
  <si>
    <r>
      <rPr>
        <b/>
        <sz val="10"/>
        <color theme="1"/>
        <rFont val="돋움"/>
        <family val="3"/>
        <charset val="129"/>
      </rPr>
      <t>전라남도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담양군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봉산면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면앙정로</t>
    </r>
    <r>
      <rPr>
        <b/>
        <sz val="10"/>
        <color theme="1"/>
        <rFont val="Meiryo"/>
        <family val="2"/>
      </rPr>
      <t xml:space="preserve"> 355-5</t>
    </r>
    <phoneticPr fontId="1" type="noConversion"/>
  </si>
  <si>
    <t>010-9297-6679</t>
    <phoneticPr fontId="1" type="noConversion"/>
  </si>
  <si>
    <t>광주유가한중유통</t>
    <phoneticPr fontId="1" type="noConversion"/>
  </si>
  <si>
    <r>
      <rPr>
        <b/>
        <sz val="10"/>
        <color theme="1"/>
        <rFont val="돋움"/>
        <family val="3"/>
        <charset val="129"/>
      </rPr>
      <t>광주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북구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용봉동</t>
    </r>
    <r>
      <rPr>
        <b/>
        <sz val="10"/>
        <color theme="1"/>
        <rFont val="Meiryo"/>
        <family val="2"/>
      </rPr>
      <t>1227-1</t>
    </r>
    <phoneticPr fontId="1" type="noConversion"/>
  </si>
  <si>
    <t>010-2423-6221</t>
    <phoneticPr fontId="1" type="noConversion"/>
  </si>
  <si>
    <t>완주</t>
    <phoneticPr fontId="1" type="noConversion"/>
  </si>
  <si>
    <t>완주옐로우팜</t>
    <phoneticPr fontId="1" type="noConversion"/>
  </si>
  <si>
    <r>
      <rPr>
        <b/>
        <sz val="10"/>
        <color theme="1"/>
        <rFont val="돋움"/>
        <family val="3"/>
        <charset val="129"/>
      </rPr>
      <t>전북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완주군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용진읍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상운길</t>
    </r>
    <r>
      <rPr>
        <b/>
        <sz val="10"/>
        <color theme="1"/>
        <rFont val="Meiryo"/>
        <family val="2"/>
      </rPr>
      <t xml:space="preserve"> 46-10</t>
    </r>
    <phoneticPr fontId="1" type="noConversion"/>
  </si>
  <si>
    <t>010-9357-0930</t>
    <phoneticPr fontId="1" type="noConversion"/>
  </si>
  <si>
    <t>가락동화누리</t>
    <phoneticPr fontId="1" type="noConversion"/>
  </si>
  <si>
    <r>
      <rPr>
        <b/>
        <sz val="10"/>
        <color rgb="FF000000"/>
        <rFont val="돋움"/>
        <family val="3"/>
        <charset val="129"/>
      </rPr>
      <t>서울시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송파구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양재대로</t>
    </r>
    <r>
      <rPr>
        <b/>
        <sz val="10"/>
        <color rgb="FF000000"/>
        <rFont val="Meiryo"/>
        <family val="2"/>
        <charset val="128"/>
      </rPr>
      <t xml:space="preserve"> 932 (</t>
    </r>
    <r>
      <rPr>
        <b/>
        <sz val="10"/>
        <color rgb="FF000000"/>
        <rFont val="돋움"/>
        <family val="3"/>
        <charset val="129"/>
      </rPr>
      <t>가락동</t>
    </r>
    <r>
      <rPr>
        <b/>
        <sz val="10"/>
        <color rgb="FF000000"/>
        <rFont val="Meiryo"/>
        <family val="2"/>
        <charset val="128"/>
      </rPr>
      <t>)</t>
    </r>
  </si>
  <si>
    <t>가락한국농심</t>
    <phoneticPr fontId="1" type="noConversion"/>
  </si>
  <si>
    <r>
      <rPr>
        <b/>
        <sz val="10"/>
        <color theme="1"/>
        <rFont val="돋움"/>
        <family val="3"/>
        <charset val="129"/>
      </rPr>
      <t>서울시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송파구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양재대로</t>
    </r>
    <r>
      <rPr>
        <b/>
        <sz val="10"/>
        <color theme="1"/>
        <rFont val="Meiryo"/>
        <family val="2"/>
      </rPr>
      <t xml:space="preserve"> 932 (</t>
    </r>
    <r>
      <rPr>
        <b/>
        <sz val="10"/>
        <color theme="1"/>
        <rFont val="돋움"/>
        <family val="3"/>
        <charset val="129"/>
      </rPr>
      <t>가락동</t>
    </r>
    <r>
      <rPr>
        <b/>
        <sz val="10"/>
        <color theme="1"/>
        <rFont val="Meiryo"/>
        <family val="2"/>
      </rPr>
      <t>)</t>
    </r>
    <phoneticPr fontId="1" type="noConversion"/>
  </si>
  <si>
    <t>광주각화중앙청과</t>
    <phoneticPr fontId="1" type="noConversion"/>
  </si>
  <si>
    <t xml:space="preserve">광주광역시 북구 동문대로 260 </t>
  </si>
  <si>
    <t>062-528-6311</t>
    <phoneticPr fontId="1" type="noConversion"/>
  </si>
  <si>
    <t>시흥행복촌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</si>
  <si>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시흥시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군자동</t>
    </r>
    <r>
      <rPr>
        <b/>
        <sz val="10"/>
        <color theme="1"/>
        <rFont val="Meiryo"/>
        <family val="2"/>
      </rPr>
      <t xml:space="preserve"> 94</t>
    </r>
    <r>
      <rPr>
        <b/>
        <sz val="10"/>
        <color theme="1"/>
        <rFont val="돋움"/>
        <family val="3"/>
        <charset val="129"/>
      </rPr>
      <t>번지</t>
    </r>
    <phoneticPr fontId="1" type="noConversion"/>
  </si>
  <si>
    <t>010.3738.6648</t>
    <phoneticPr fontId="1" type="noConversion"/>
  </si>
  <si>
    <t>시흥행복촌(광명유통송장)</t>
    <phoneticPr fontId="1" type="noConversion"/>
  </si>
  <si>
    <t>광주중앙청과</t>
    <phoneticPr fontId="1" type="noConversion"/>
  </si>
  <si>
    <r>
      <rPr>
        <b/>
        <sz val="10"/>
        <color theme="1"/>
        <rFont val="돋움"/>
        <family val="3"/>
        <charset val="129"/>
      </rPr>
      <t>광주광역시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북구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동문대로</t>
    </r>
    <r>
      <rPr>
        <b/>
        <sz val="10"/>
        <color theme="1"/>
        <rFont val="Meiryo"/>
        <family val="2"/>
      </rPr>
      <t xml:space="preserve"> 260 (</t>
    </r>
    <r>
      <rPr>
        <b/>
        <sz val="10"/>
        <color theme="1"/>
        <rFont val="돋움"/>
        <family val="3"/>
        <charset val="129"/>
      </rPr>
      <t>우</t>
    </r>
    <r>
      <rPr>
        <b/>
        <sz val="10"/>
        <color theme="1"/>
        <rFont val="Meiryo"/>
        <family val="2"/>
      </rPr>
      <t>)61138</t>
    </r>
    <phoneticPr fontId="1" type="noConversion"/>
  </si>
  <si>
    <t>청량리</t>
    <phoneticPr fontId="1" type="noConversion"/>
  </si>
  <si>
    <t>대구유통</t>
  </si>
  <si>
    <t>동대문구 경동시장 6길 14</t>
  </si>
  <si>
    <t>010-2953-4847</t>
    <phoneticPr fontId="1" type="noConversion"/>
  </si>
  <si>
    <t>광주하진</t>
    <phoneticPr fontId="1" type="noConversion"/>
  </si>
  <si>
    <r>
      <rPr>
        <b/>
        <sz val="10"/>
        <color rgb="FF000000"/>
        <rFont val="돋움"/>
        <family val="3"/>
        <charset val="129"/>
      </rPr>
      <t>광주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서구</t>
    </r>
    <r>
      <rPr>
        <b/>
        <sz val="10"/>
        <color rgb="FF000000"/>
        <rFont val="Meiryo"/>
        <family val="2"/>
        <charset val="128"/>
      </rPr>
      <t xml:space="preserve"> </t>
    </r>
    <r>
      <rPr>
        <b/>
        <sz val="10"/>
        <color rgb="FF000000"/>
        <rFont val="돋움"/>
        <family val="3"/>
        <charset val="129"/>
      </rPr>
      <t>매월동</t>
    </r>
    <r>
      <rPr>
        <b/>
        <sz val="10"/>
        <color rgb="FF000000"/>
        <rFont val="Meiryo"/>
        <family val="2"/>
        <charset val="128"/>
      </rPr>
      <t xml:space="preserve"> 952-16</t>
    </r>
    <r>
      <rPr>
        <b/>
        <sz val="10"/>
        <color rgb="FF000000"/>
        <rFont val="돋움"/>
        <family val="3"/>
        <charset val="129"/>
      </rPr>
      <t>번지</t>
    </r>
  </si>
  <si>
    <r>
      <rPr>
        <b/>
        <sz val="10"/>
        <color theme="1"/>
        <rFont val="돋움"/>
        <family val="3"/>
        <charset val="129"/>
      </rPr>
      <t>남양주과일창고</t>
    </r>
    <r>
      <rPr>
        <b/>
        <sz val="10"/>
        <color theme="1"/>
        <rFont val="Meiryo"/>
        <family val="2"/>
      </rPr>
      <t>(</t>
    </r>
    <r>
      <rPr>
        <b/>
        <sz val="10"/>
        <color theme="1"/>
        <rFont val="돋움"/>
        <family val="3"/>
        <charset val="129"/>
      </rPr>
      <t>인우</t>
    </r>
    <r>
      <rPr>
        <b/>
        <sz val="10"/>
        <color theme="1"/>
        <rFont val="Meiryo"/>
        <family val="2"/>
      </rPr>
      <t>)</t>
    </r>
    <phoneticPr fontId="1" type="noConversion"/>
  </si>
  <si>
    <r>
      <t>남양주시</t>
    </r>
    <r>
      <rPr>
        <b/>
        <sz val="13"/>
        <color theme="1"/>
        <rFont val="Meiryo"/>
        <family val="2"/>
      </rPr>
      <t xml:space="preserve"> </t>
    </r>
    <r>
      <rPr>
        <b/>
        <sz val="13"/>
        <color theme="1"/>
        <rFont val="돋움"/>
        <family val="3"/>
        <charset val="129"/>
      </rPr>
      <t>화도읍</t>
    </r>
    <r>
      <rPr>
        <b/>
        <sz val="13"/>
        <color theme="1"/>
        <rFont val="Meiryo"/>
        <family val="2"/>
      </rPr>
      <t xml:space="preserve"> </t>
    </r>
    <r>
      <rPr>
        <b/>
        <sz val="13"/>
        <color theme="1"/>
        <rFont val="돋움"/>
        <family val="3"/>
        <charset val="129"/>
      </rPr>
      <t>구암리</t>
    </r>
    <r>
      <rPr>
        <b/>
        <sz val="13"/>
        <color theme="1"/>
        <rFont val="Meiryo"/>
        <family val="2"/>
      </rPr>
      <t xml:space="preserve"> 430-2 </t>
    </r>
    <r>
      <rPr>
        <b/>
        <sz val="13"/>
        <color theme="1"/>
        <rFont val="돋움"/>
        <family val="3"/>
        <charset val="129"/>
      </rPr>
      <t>과일창고</t>
    </r>
  </si>
  <si>
    <t>010 3469 3825</t>
  </si>
  <si>
    <t>충북</t>
    <phoneticPr fontId="1" type="noConversion"/>
  </si>
  <si>
    <r>
      <rPr>
        <b/>
        <sz val="10"/>
        <color theme="1"/>
        <rFont val="돋움"/>
        <family val="3"/>
        <charset val="129"/>
      </rPr>
      <t>충북음성</t>
    </r>
    <r>
      <rPr>
        <b/>
        <sz val="10"/>
        <color theme="1"/>
        <rFont val="Meiryo"/>
        <family val="2"/>
      </rPr>
      <t>gs</t>
    </r>
    <phoneticPr fontId="1" type="noConversion"/>
  </si>
  <si>
    <r>
      <rPr>
        <b/>
        <sz val="10"/>
        <color theme="1"/>
        <rFont val="돋움"/>
        <family val="3"/>
        <charset val="129"/>
      </rPr>
      <t>서울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강서구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발산로</t>
    </r>
    <r>
      <rPr>
        <b/>
        <sz val="10"/>
        <color theme="1"/>
        <rFont val="Meiryo"/>
        <family val="2"/>
      </rPr>
      <t xml:space="preserve"> 40 </t>
    </r>
    <r>
      <rPr>
        <b/>
        <sz val="10"/>
        <color theme="1"/>
        <rFont val="돋움"/>
        <family val="3"/>
        <charset val="129"/>
      </rPr>
      <t>직판장</t>
    </r>
    <r>
      <rPr>
        <b/>
        <sz val="10"/>
        <color theme="1"/>
        <rFont val="Meiryo"/>
        <family val="2"/>
      </rPr>
      <t xml:space="preserve"> D</t>
    </r>
    <r>
      <rPr>
        <b/>
        <sz val="10"/>
        <color theme="1"/>
        <rFont val="돋움"/>
        <family val="3"/>
        <charset val="129"/>
      </rPr>
      <t>동</t>
    </r>
    <r>
      <rPr>
        <b/>
        <sz val="10"/>
        <color theme="1"/>
        <rFont val="Meiryo"/>
        <family val="2"/>
      </rPr>
      <t xml:space="preserve"> 36</t>
    </r>
    <r>
      <rPr>
        <b/>
        <sz val="10"/>
        <color theme="1"/>
        <rFont val="돋움"/>
        <family val="3"/>
        <charset val="129"/>
      </rPr>
      <t>호</t>
    </r>
    <phoneticPr fontId="1" type="noConversion"/>
  </si>
  <si>
    <t>043-877-5678</t>
    <phoneticPr fontId="1" type="noConversion"/>
  </si>
  <si>
    <t>강서성심</t>
    <phoneticPr fontId="1" type="noConversion"/>
  </si>
  <si>
    <t>서울 강서구 발산로 40 직판장 D동 36호</t>
  </si>
  <si>
    <t>010-7122-4280</t>
    <phoneticPr fontId="1" type="noConversion"/>
  </si>
  <si>
    <t>김포스위트컴퍼니</t>
    <phoneticPr fontId="1" type="noConversion"/>
  </si>
  <si>
    <r>
      <rPr>
        <b/>
        <sz val="10"/>
        <color rgb="FF000000"/>
        <rFont val="돋움"/>
        <family val="3"/>
        <charset val="129"/>
      </rPr>
      <t>김포대로</t>
    </r>
    <r>
      <rPr>
        <b/>
        <sz val="10"/>
        <color rgb="FF000000"/>
        <rFont val="Meiryo"/>
        <family val="2"/>
        <charset val="128"/>
      </rPr>
      <t xml:space="preserve"> 1188 </t>
    </r>
    <r>
      <rPr>
        <b/>
        <sz val="10"/>
        <color rgb="FF000000"/>
        <rFont val="돋움"/>
        <family val="3"/>
        <charset val="129"/>
      </rPr>
      <t>스위트컴퍼니</t>
    </r>
  </si>
  <si>
    <t>010-7661-1048</t>
    <phoneticPr fontId="1" type="noConversion"/>
  </si>
  <si>
    <t>김포스위트망고</t>
    <phoneticPr fontId="1" type="noConversion"/>
  </si>
  <si>
    <r>
      <rPr>
        <b/>
        <sz val="10"/>
        <color theme="1"/>
        <rFont val="돋움"/>
        <family val="3"/>
        <charset val="129"/>
      </rPr>
      <t>김포대로</t>
    </r>
    <r>
      <rPr>
        <b/>
        <sz val="10"/>
        <color theme="1"/>
        <rFont val="Meiryo"/>
        <family val="2"/>
      </rPr>
      <t xml:space="preserve"> 1188 </t>
    </r>
    <r>
      <rPr>
        <b/>
        <sz val="10"/>
        <color theme="1"/>
        <rFont val="돋움"/>
        <family val="3"/>
        <charset val="129"/>
      </rPr>
      <t>스위트컴퍼니</t>
    </r>
    <phoneticPr fontId="1" type="noConversion"/>
  </si>
  <si>
    <t>고양</t>
    <phoneticPr fontId="1" type="noConversion"/>
  </si>
  <si>
    <t>고양엠에이치유통</t>
    <phoneticPr fontId="1" type="noConversion"/>
  </si>
  <si>
    <r>
      <rPr>
        <b/>
        <sz val="10"/>
        <color theme="1"/>
        <rFont val="돋움"/>
        <family val="3"/>
        <charset val="129"/>
      </rPr>
      <t>경기도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고양시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일산동구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성현로</t>
    </r>
    <r>
      <rPr>
        <b/>
        <sz val="10"/>
        <color theme="1"/>
        <rFont val="Meiryo"/>
        <family val="2"/>
      </rPr>
      <t xml:space="preserve"> 496</t>
    </r>
    <phoneticPr fontId="1" type="noConversion"/>
  </si>
  <si>
    <t>010-8729-7986</t>
    <phoneticPr fontId="1" type="noConversion"/>
  </si>
  <si>
    <t>화성동호유통</t>
    <phoneticPr fontId="1" type="noConversion"/>
  </si>
  <si>
    <r>
      <rPr>
        <b/>
        <sz val="13"/>
        <color theme="1"/>
        <rFont val="돋움"/>
        <family val="3"/>
        <charset val="129"/>
      </rPr>
      <t>경기도</t>
    </r>
    <r>
      <rPr>
        <b/>
        <sz val="13"/>
        <color theme="1"/>
        <rFont val="Meiryo"/>
        <family val="2"/>
      </rPr>
      <t xml:space="preserve"> </t>
    </r>
    <r>
      <rPr>
        <b/>
        <sz val="13"/>
        <color theme="1"/>
        <rFont val="돋움"/>
        <family val="3"/>
        <charset val="129"/>
      </rPr>
      <t>화성시</t>
    </r>
    <r>
      <rPr>
        <b/>
        <sz val="13"/>
        <color theme="1"/>
        <rFont val="Meiryo"/>
        <family val="2"/>
      </rPr>
      <t xml:space="preserve"> </t>
    </r>
    <r>
      <rPr>
        <b/>
        <sz val="13"/>
        <color theme="1"/>
        <rFont val="돋움"/>
        <family val="3"/>
        <charset val="129"/>
      </rPr>
      <t>봉담읍</t>
    </r>
    <r>
      <rPr>
        <b/>
        <sz val="13"/>
        <color theme="1"/>
        <rFont val="Meiryo"/>
        <family val="2"/>
      </rPr>
      <t xml:space="preserve"> </t>
    </r>
    <r>
      <rPr>
        <b/>
        <sz val="13"/>
        <color theme="1"/>
        <rFont val="돋움"/>
        <family val="3"/>
        <charset val="129"/>
      </rPr>
      <t>시청로</t>
    </r>
    <r>
      <rPr>
        <b/>
        <sz val="13"/>
        <color theme="1"/>
        <rFont val="Meiryo"/>
        <family val="2"/>
      </rPr>
      <t xml:space="preserve"> 1498</t>
    </r>
    <r>
      <rPr>
        <b/>
        <sz val="13"/>
        <color theme="1"/>
        <rFont val="돋움"/>
        <family val="3"/>
        <charset val="129"/>
      </rPr>
      <t>번</t>
    </r>
    <r>
      <rPr>
        <b/>
        <sz val="13"/>
        <color theme="1"/>
        <rFont val="Meiryo"/>
        <family val="2"/>
      </rPr>
      <t xml:space="preserve"> </t>
    </r>
    <r>
      <rPr>
        <b/>
        <sz val="13"/>
        <color theme="1"/>
        <rFont val="돋움"/>
        <family val="3"/>
        <charset val="129"/>
      </rPr>
      <t>동호유통</t>
    </r>
    <phoneticPr fontId="1" type="noConversion"/>
  </si>
  <si>
    <t>010-3622-2031</t>
    <phoneticPr fontId="1" type="noConversion"/>
  </si>
  <si>
    <t>강서티에프</t>
    <phoneticPr fontId="1" type="noConversion"/>
  </si>
  <si>
    <r>
      <rPr>
        <b/>
        <sz val="10"/>
        <color theme="1"/>
        <rFont val="돋움"/>
        <family val="3"/>
        <charset val="129"/>
      </rPr>
      <t>서울시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강서구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발산로</t>
    </r>
    <r>
      <rPr>
        <b/>
        <sz val="10"/>
        <color theme="1"/>
        <rFont val="Meiryo"/>
        <family val="2"/>
      </rPr>
      <t xml:space="preserve"> 40 </t>
    </r>
    <r>
      <rPr>
        <b/>
        <sz val="10"/>
        <color theme="1"/>
        <rFont val="돋움"/>
        <family val="3"/>
        <charset val="129"/>
      </rPr>
      <t>강서농산물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도매시장</t>
    </r>
    <r>
      <rPr>
        <b/>
        <sz val="10"/>
        <color theme="1"/>
        <rFont val="Meiryo"/>
        <family val="2"/>
      </rPr>
      <t xml:space="preserve"> E</t>
    </r>
    <r>
      <rPr>
        <b/>
        <sz val="10"/>
        <color theme="1"/>
        <rFont val="돋움"/>
        <family val="3"/>
        <charset val="129"/>
      </rPr>
      <t>동</t>
    </r>
    <r>
      <rPr>
        <b/>
        <sz val="10"/>
        <color theme="1"/>
        <rFont val="Meiryo"/>
        <family val="2"/>
      </rPr>
      <t xml:space="preserve"> 50</t>
    </r>
    <r>
      <rPr>
        <b/>
        <sz val="10"/>
        <color theme="1"/>
        <rFont val="돋움"/>
        <family val="3"/>
        <charset val="129"/>
      </rPr>
      <t>호</t>
    </r>
    <r>
      <rPr>
        <b/>
        <sz val="10"/>
        <color theme="1"/>
        <rFont val="Meiryo"/>
        <family val="2"/>
      </rPr>
      <t xml:space="preserve"> </t>
    </r>
    <phoneticPr fontId="1" type="noConversion"/>
  </si>
  <si>
    <t>010 6396 0631</t>
  </si>
  <si>
    <r>
      <rPr>
        <b/>
        <sz val="10"/>
        <color theme="1"/>
        <rFont val="돋움"/>
        <family val="3"/>
        <charset val="129"/>
      </rPr>
      <t>이천동우</t>
    </r>
    <r>
      <rPr>
        <b/>
        <sz val="10"/>
        <color theme="1"/>
        <rFont val="Meiryo"/>
        <family val="2"/>
      </rPr>
      <t>(</t>
    </r>
    <r>
      <rPr>
        <b/>
        <sz val="10"/>
        <color theme="1"/>
        <rFont val="돋움"/>
        <family val="3"/>
        <charset val="129"/>
      </rPr>
      <t>내일오전착</t>
    </r>
    <r>
      <rPr>
        <b/>
        <sz val="10"/>
        <color theme="1"/>
        <rFont val="Meiryo"/>
        <family val="2"/>
      </rPr>
      <t>)</t>
    </r>
    <phoneticPr fontId="1" type="noConversion"/>
  </si>
  <si>
    <t>안양푸르미</t>
    <phoneticPr fontId="1" type="noConversion"/>
  </si>
  <si>
    <t>경기도 안양시 동안구 흥안대로 313 안양농산물 청과동 78번 푸르미</t>
  </si>
  <si>
    <t>광암 사무실 하차 문의 (1층)</t>
  </si>
  <si>
    <t>광주중앙</t>
    <phoneticPr fontId="1" type="noConversion"/>
  </si>
  <si>
    <t>순천순천원협</t>
    <phoneticPr fontId="1" type="noConversion"/>
  </si>
  <si>
    <r>
      <rPr>
        <b/>
        <sz val="10"/>
        <color theme="1"/>
        <rFont val="돋움"/>
        <family val="3"/>
        <charset val="129"/>
      </rPr>
      <t>전남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순천시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해룡면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월전리</t>
    </r>
    <r>
      <rPr>
        <b/>
        <sz val="10"/>
        <color theme="1"/>
        <rFont val="Meiryo"/>
        <family val="2"/>
      </rPr>
      <t xml:space="preserve"> 9-1</t>
    </r>
    <phoneticPr fontId="1" type="noConversion"/>
  </si>
  <si>
    <t>태안</t>
    <phoneticPr fontId="1" type="noConversion"/>
  </si>
  <si>
    <t>태안영풍</t>
    <phoneticPr fontId="1" type="noConversion"/>
  </si>
  <si>
    <r>
      <rPr>
        <b/>
        <sz val="10"/>
        <color theme="1"/>
        <rFont val="돋움"/>
        <family val="3"/>
        <charset val="129"/>
      </rPr>
      <t>태안군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태안읍</t>
    </r>
    <r>
      <rPr>
        <b/>
        <sz val="10"/>
        <color theme="1"/>
        <rFont val="Meiryo"/>
        <family val="2"/>
      </rPr>
      <t xml:space="preserve"> </t>
    </r>
    <r>
      <rPr>
        <b/>
        <sz val="10"/>
        <color theme="1"/>
        <rFont val="돋움"/>
        <family val="3"/>
        <charset val="129"/>
      </rPr>
      <t>삼한길</t>
    </r>
    <r>
      <rPr>
        <b/>
        <sz val="10"/>
        <color theme="1"/>
        <rFont val="Meiryo"/>
        <family val="2"/>
      </rPr>
      <t xml:space="preserve"> 135</t>
    </r>
    <phoneticPr fontId="1" type="noConversion"/>
  </si>
  <si>
    <t>010-9939-0611</t>
    <phoneticPr fontId="1" type="noConversion"/>
  </si>
  <si>
    <t>부산성민</t>
    <phoneticPr fontId="1" type="noConversion"/>
  </si>
  <si>
    <t>청량리</t>
  </si>
  <si>
    <t>남양유통</t>
  </si>
  <si>
    <t xml:space="preserve">서울시 동대문구 경동시장로 2길 30 </t>
  </si>
  <si>
    <t>02-966-2765</t>
  </si>
  <si>
    <t>서울</t>
  </si>
  <si>
    <t>청호농산</t>
  </si>
  <si>
    <t>nf</t>
  </si>
  <si>
    <t>NF통상</t>
  </si>
  <si>
    <t>진주시 남강로 1689 nf통상</t>
  </si>
  <si>
    <t>두성푸르츠</t>
  </si>
  <si>
    <t>서울시 송파구 양재대로 932 (가락동)</t>
  </si>
  <si>
    <t>광주</t>
  </si>
  <si>
    <t>호남청과</t>
  </si>
  <si>
    <t>광주광역시 서구 매월2로 16번길 서부농산물도매시장</t>
  </si>
  <si>
    <t xml:space="preserve">강서 </t>
  </si>
  <si>
    <t>송복</t>
  </si>
  <si>
    <t>발산로40 강서농협공판장  송복상회 225호</t>
  </si>
  <si>
    <t>대구(성주)</t>
  </si>
  <si>
    <t>비타민테이블</t>
  </si>
  <si>
    <t>경상북도 성주군 대가면 대가금산3길 7-12(성주)</t>
  </si>
  <si>
    <t>황금</t>
  </si>
  <si>
    <t>하남</t>
  </si>
  <si>
    <t>이화원</t>
  </si>
  <si>
    <t xml:space="preserve">경기도 하남시 항동 133 </t>
  </si>
  <si>
    <t>조성배</t>
  </si>
  <si>
    <t>인천</t>
  </si>
  <si>
    <t>대인농산</t>
  </si>
  <si>
    <t>과일아지매</t>
  </si>
  <si>
    <t>인천광역시 남동구 수산동 482</t>
  </si>
  <si>
    <t>영등포</t>
  </si>
  <si>
    <t>스마일팜</t>
  </si>
  <si>
    <t xml:space="preserve">서울시 영등포구 영등포로 167-1 1층 </t>
  </si>
  <si>
    <t>황준성</t>
  </si>
  <si>
    <t>용인</t>
  </si>
  <si>
    <t>에이통상</t>
  </si>
  <si>
    <t>경기도 용인시 처인구 이동읍 덕성산단 2로 76번길 36</t>
  </si>
  <si>
    <t>010-4822-1273</t>
  </si>
  <si>
    <t>동탄</t>
  </si>
  <si>
    <t>오잘공과일</t>
  </si>
  <si>
    <t xml:space="preserve">경기도 화성시 영천동 763-3 1층 </t>
  </si>
  <si>
    <t>010-3934-1801</t>
  </si>
  <si>
    <t>김제</t>
  </si>
  <si>
    <t>삼우통상</t>
  </si>
  <si>
    <t>전북 김제시 용지면  부교리 195-5</t>
  </si>
  <si>
    <t>010-8651-0062</t>
  </si>
  <si>
    <t>호준후레쉬팜</t>
  </si>
  <si>
    <t xml:space="preserve">서울시 송파구 양재대로 932 (가락동) </t>
  </si>
  <si>
    <t>임시열</t>
  </si>
  <si>
    <t>010-4619-2954</t>
  </si>
  <si>
    <t>송탄</t>
  </si>
  <si>
    <t>바로이마트</t>
  </si>
  <si>
    <t>경기도 평택시 탄현로 391</t>
  </si>
  <si>
    <t>010 9213 6244</t>
  </si>
  <si>
    <t>대구</t>
  </si>
  <si>
    <t>웰빙과일야채</t>
  </si>
  <si>
    <t>대구시 달성군 농곱읍 논공로 24길 17-1 웰빙과일야채</t>
  </si>
  <si>
    <t>010-8795-4775</t>
  </si>
  <si>
    <t>하나의팜</t>
  </si>
  <si>
    <t>광주광역시 북구 동문대로260  중앙청과</t>
  </si>
  <si>
    <t>이상훈대표</t>
  </si>
  <si>
    <t>남양</t>
  </si>
  <si>
    <t>서울 특별시 영등포구 당산동1가 191-11</t>
  </si>
  <si>
    <t>010-7757-7517</t>
  </si>
  <si>
    <t>탑후르츠</t>
  </si>
  <si>
    <t>서울시 강서구 발산로 40 강서농수산물도매시장 F동</t>
  </si>
  <si>
    <t>010-5287-0678</t>
  </si>
  <si>
    <t>더섬김</t>
  </si>
  <si>
    <t xml:space="preserve">전북 김제시 용지면 콩쥐팥쥐로 715 주 1동 </t>
  </si>
  <si>
    <t>010-2486-0449</t>
  </si>
  <si>
    <t>성심당</t>
  </si>
  <si>
    <t>대전시 대덕구 오정동 332-1번지 성심당 물류센터</t>
  </si>
  <si>
    <t>010-9396-9345</t>
  </si>
  <si>
    <t>이천</t>
  </si>
  <si>
    <t>정진에프피시</t>
  </si>
  <si>
    <t>경기도 이천시 부발읍 두무재로 79번길 76</t>
  </si>
  <si>
    <t>010 4763 8508</t>
  </si>
  <si>
    <t>안산</t>
  </si>
  <si>
    <t>준마트</t>
  </si>
  <si>
    <t>안산시 단원구 원곡동 793-26번지 1층 준마트</t>
  </si>
  <si>
    <t>010-6745-0128</t>
  </si>
  <si>
    <t>대림</t>
  </si>
  <si>
    <t>대림 CU</t>
  </si>
  <si>
    <t>대림동 1048-8</t>
  </si>
  <si>
    <t>010-4290-5121</t>
  </si>
  <si>
    <t>한스</t>
  </si>
  <si>
    <t>경기도 안양시 동안구 시민대로 401 b111호 (카고만가능)</t>
  </si>
  <si>
    <t>010-7211-2693</t>
  </si>
  <si>
    <t>안동</t>
  </si>
  <si>
    <t>동원</t>
  </si>
  <si>
    <t>안동시 풍산읍 본마을길 60</t>
  </si>
  <si>
    <t>010-5067-3541</t>
  </si>
  <si>
    <t>광주청과</t>
  </si>
  <si>
    <t>광주 북구 동문대로 260</t>
  </si>
  <si>
    <t>김해</t>
  </si>
  <si>
    <t>김해시 부곡동 100-4</t>
  </si>
  <si>
    <t>장수</t>
  </si>
  <si>
    <t>크레아팜</t>
  </si>
  <si>
    <t xml:space="preserve">전북 장수군 장수읍 장수로1959 장수신농영농조합 </t>
  </si>
  <si>
    <t>전대호 대표</t>
  </si>
  <si>
    <t>포항</t>
  </si>
  <si>
    <t>철길유통</t>
  </si>
  <si>
    <t>철길유통 울산 북구 지당3길 7</t>
  </si>
  <si>
    <t>신용호대표</t>
  </si>
  <si>
    <t>부산</t>
  </si>
  <si>
    <t>보람푸드</t>
  </si>
  <si>
    <t>부산광역시 사상구 학감대로191번길 16 A동</t>
  </si>
  <si>
    <t>010-8746-1009</t>
  </si>
  <si>
    <t>주식회사 하츠(사우스)</t>
  </si>
  <si>
    <t>경기도 안양시 동안구 관악대로 450(관양동)</t>
  </si>
  <si>
    <t>홍연주</t>
  </si>
  <si>
    <t>010-7579-4626</t>
  </si>
  <si>
    <t>평택</t>
  </si>
  <si>
    <t>서림유통(중앙식자재 평택)</t>
  </si>
  <si>
    <t xml:space="preserve">경기도 평택시 문화촌로 33 </t>
  </si>
  <si>
    <t>박용환 점장</t>
  </si>
  <si>
    <t>010-3232-6546</t>
  </si>
  <si>
    <t xml:space="preserve">디에스글로벌 </t>
  </si>
  <si>
    <t xml:space="preserve">광주 북구 연제동 1038-7번지 디에스글로벌 </t>
  </si>
  <si>
    <t>오민석</t>
  </si>
  <si>
    <t>010-8929-0780</t>
  </si>
  <si>
    <t>전주</t>
  </si>
  <si>
    <t>해피유통(선라이트)</t>
  </si>
  <si>
    <t xml:space="preserve">전북 전주시 덕진구 동부대로1181 원예농협 7번 </t>
  </si>
  <si>
    <t xml:space="preserve">이원진 </t>
  </si>
  <si>
    <t>010-3114-5859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</si>
</sst>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176" formatCode="mm&quot;월&quot;\ dd&quot;일&quot;"/>
    <numFmt numFmtId="177" formatCode="[$-F800]dddd\,\ mmmm\ dd\,\ yyyy"/>
    <numFmt numFmtId="178" formatCode="0&quot;과&quot;"/>
    <numFmt numFmtId="179" formatCode="000\-000"/>
    <numFmt numFmtId="180" formatCode="0&quot;kg&quot;"/>
    <numFmt numFmtId="181" formatCode="0.00&quot;kg&quot;"/>
    <numFmt numFmtId="182" formatCode="0&quot;수&quot;"/>
  </numFmts>
  <fonts count="4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돋움"/>
      <family val="3"/>
      <charset val="129"/>
    </font>
    <font>
      <b/>
      <sz val="13"/>
      <color theme="1"/>
      <name val="Meiryo"/>
      <family val="2"/>
    </font>
    <font>
      <sz val="11"/>
      <color theme="1"/>
      <name val="맑은 고딕"/>
      <family val="2"/>
      <charset val="129"/>
      <scheme val="minor"/>
    </font>
    <font>
      <sz val="10"/>
      <color theme="1"/>
      <name val="Meiryo"/>
      <family val="2"/>
      <charset val="128"/>
    </font>
    <font>
      <b/>
      <sz val="10"/>
      <color theme="1"/>
      <name val="Meiryo"/>
      <family val="2"/>
      <charset val="128"/>
    </font>
    <font>
      <b/>
      <sz val="10"/>
      <color theme="1"/>
      <name val="Meiryo"/>
      <family val="2"/>
    </font>
    <font>
      <b/>
      <sz val="10"/>
      <color theme="1"/>
      <name val="돋움"/>
      <family val="3"/>
      <charset val="129"/>
    </font>
    <font>
      <b/>
      <sz val="10"/>
      <color theme="1"/>
      <name val="맑은 고딕"/>
      <family val="2"/>
      <charset val="129"/>
    </font>
    <font>
      <b/>
      <sz val="10"/>
      <color rgb="FF000000"/>
      <name val="Meiryo"/>
      <family val="2"/>
    </font>
    <font>
      <b/>
      <sz val="10"/>
      <color rgb="FF000000"/>
      <name val="돋움"/>
      <family val="3"/>
      <charset val="129"/>
    </font>
    <font>
      <b/>
      <sz val="10"/>
      <color rgb="FF000000"/>
      <name val="Meiryo"/>
      <family val="2"/>
      <charset val="128"/>
    </font>
    <font>
      <b/>
      <sz val="10"/>
      <color rgb="FF000000"/>
      <name val="맑은 고딕"/>
      <family val="3"/>
      <charset val="129"/>
    </font>
    <font>
      <b/>
      <sz val="20"/>
      <color theme="1"/>
      <name val="Meiryo"/>
      <family val="2"/>
    </font>
    <font>
      <b/>
      <sz val="20"/>
      <color rgb="FFFF0000"/>
      <name val="Meiryo"/>
      <family val="2"/>
    </font>
    <font>
      <b/>
      <sz val="20"/>
      <name val="Meiryo"/>
      <family val="2"/>
    </font>
    <font>
      <b/>
      <sz val="10"/>
      <color rgb="FF000000"/>
      <name val="굴림"/>
      <family val="3"/>
      <charset val="129"/>
    </font>
    <font>
      <b/>
      <sz val="20"/>
      <color rgb="FF000000"/>
      <name val="Meiryo"/>
      <family val="2"/>
    </font>
    <font>
      <b/>
      <sz val="20"/>
      <color theme="1"/>
      <name val="Meiryo"/>
      <family val="2"/>
      <charset val="128"/>
    </font>
    <font>
      <b/>
      <sz val="20"/>
      <color theme="1"/>
      <name val="돋움"/>
      <family val="3"/>
      <charset val="129"/>
    </font>
    <font>
      <b/>
      <sz val="24"/>
      <name val="맑은 고딕"/>
      <family val="3"/>
      <charset val="129"/>
      <scheme val="major"/>
    </font>
    <font>
      <b/>
      <sz val="20"/>
      <color rgb="FFFF0000"/>
      <name val="돋움"/>
      <family val="3"/>
      <charset val="129"/>
    </font>
    <font>
      <b/>
      <sz val="20"/>
      <name val="Meiryo"/>
      <family val="2"/>
      <charset val="128"/>
    </font>
    <font>
      <b/>
      <sz val="10"/>
      <color theme="1"/>
      <name val="돋움"/>
      <family val="3"/>
    </font>
    <font>
      <b/>
      <sz val="13"/>
      <color theme="1"/>
      <name val="Meiryo"/>
      <family val="2"/>
      <charset val="128"/>
    </font>
    <font>
      <b/>
      <sz val="13"/>
      <color theme="1"/>
      <name val="돋움"/>
      <family val="3"/>
    </font>
    <font>
      <b/>
      <sz val="20"/>
      <name val="맑은 고딕"/>
      <family val="2"/>
      <charset val="129"/>
    </font>
    <font>
      <b/>
      <sz val="20"/>
      <name val="Meiryo"/>
      <family val="2"/>
      <charset val="128"/>
    </font>
    <font>
      <b/>
      <sz val="20"/>
      <color theme="1"/>
      <name val="Meiryo"/>
      <family val="2"/>
      <charset val="128"/>
    </font>
    <font>
      <b/>
      <sz val="10"/>
      <color theme="1"/>
      <name val="Noto Sans KR"/>
      <family val="3"/>
      <charset val="129"/>
    </font>
    <font>
      <b/>
      <sz val="10"/>
      <color theme="1"/>
      <name val="Meiryo"/>
      <family val="2"/>
      <charset val="128"/>
    </font>
    <font>
      <b/>
      <sz val="26"/>
      <color theme="1"/>
      <name val="Meiryo"/>
      <family val="2"/>
    </font>
    <font>
      <b/>
      <sz val="28"/>
      <color theme="1"/>
      <name val="Meiryo"/>
      <family val="2"/>
    </font>
    <font>
      <b/>
      <sz val="28"/>
      <color rgb="FF000000"/>
      <name val="Meiryo"/>
      <family val="2"/>
      <charset val="128"/>
    </font>
    <font>
      <b/>
      <sz val="24"/>
      <color theme="1"/>
      <name val="Meiryo"/>
      <family val="2"/>
      <charset val="128"/>
    </font>
    <font>
      <b/>
      <sz val="24"/>
      <color theme="1"/>
      <name val="Meiryo"/>
      <family val="2"/>
    </font>
    <font>
      <b/>
      <sz val="24"/>
      <name val="맑은 고딕"/>
      <family val="3"/>
      <scheme val="major"/>
    </font>
    <font>
      <b/>
      <sz val="26"/>
      <color theme="1"/>
      <name val="Meiryo"/>
      <family val="2"/>
      <charset val="128"/>
    </font>
    <font>
      <b/>
      <sz val="20"/>
      <color theme="1"/>
      <name val="Meiryo"/>
      <charset val="128"/>
    </font>
    <font>
      <b/>
      <sz val="24"/>
      <color theme="1"/>
      <name val="Meiryo"/>
      <family val="2"/>
      <charset val="128"/>
    </font>
    <font>
      <b/>
      <sz val="26"/>
      <color rgb="FF000000"/>
      <name val="Meiryo"/>
      <family val="2"/>
    </font>
    <font>
      <b/>
      <sz val="26"/>
      <color rgb="FF000000"/>
      <name val="Meiryo"/>
      <family val="2"/>
      <charset val="128"/>
    </font>
    <font>
      <b/>
      <sz val="24"/>
      <color theme="1"/>
      <name val="Meiryo"/>
      <charset val="128"/>
    </font>
    <font>
      <b/>
      <sz val="26"/>
      <color theme="1"/>
      <name val="Meiryo"/>
      <charset val="128"/>
    </font>
    <font>
      <b/>
      <sz val="26"/>
      <color theme="1"/>
      <name val="Meiryo"/>
      <family val="2"/>
      <charset val="128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7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257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6" xfId="0" applyFont="1" applyBorder="1">
      <alignment vertical="center"/>
    </xf>
    <xf numFmtId="178" fontId="5" fillId="0" borderId="6" xfId="0" applyNumberFormat="1" applyFont="1" applyBorder="1">
      <alignment vertical="center"/>
    </xf>
    <xf numFmtId="180" fontId="5" fillId="0" borderId="6" xfId="0" applyNumberFormat="1" applyFont="1" applyBorder="1">
      <alignment vertical="center"/>
    </xf>
    <xf numFmtId="181" fontId="5" fillId="0" borderId="6" xfId="0" applyNumberFormat="1" applyFont="1" applyBorder="1">
      <alignment vertical="center"/>
    </xf>
    <xf numFmtId="181" fontId="5" fillId="10" borderId="6" xfId="0" applyNumberFormat="1" applyFont="1" applyFill="1" applyBorder="1">
      <alignment vertical="center"/>
    </xf>
    <xf numFmtId="181" fontId="5" fillId="8" borderId="6" xfId="0" applyNumberFormat="1" applyFont="1" applyFill="1" applyBorder="1">
      <alignment vertical="center"/>
    </xf>
    <xf numFmtId="181" fontId="5" fillId="9" borderId="6" xfId="0" applyNumberFormat="1" applyFont="1" applyFill="1" applyBorder="1">
      <alignment vertical="center"/>
    </xf>
    <xf numFmtId="181" fontId="5" fillId="11" borderId="6" xfId="0" applyNumberFormat="1" applyFont="1" applyFill="1" applyBorder="1">
      <alignment vertical="center"/>
    </xf>
    <xf numFmtId="181" fontId="5" fillId="12" borderId="6" xfId="0" applyNumberFormat="1" applyFont="1" applyFill="1" applyBorder="1">
      <alignment vertical="center"/>
    </xf>
    <xf numFmtId="181" fontId="5" fillId="13" borderId="6" xfId="0" applyNumberFormat="1" applyFont="1" applyFill="1" applyBorder="1">
      <alignment vertical="center"/>
    </xf>
    <xf numFmtId="0" fontId="6" fillId="8" borderId="3" xfId="0" applyFont="1" applyFill="1" applyBorder="1" applyAlignment="1">
      <alignment horizontal="left" vertical="center" shrinkToFit="1"/>
    </xf>
    <xf numFmtId="0" fontId="7" fillId="8" borderId="2" xfId="0" applyFont="1" applyFill="1" applyBorder="1" applyAlignment="1">
      <alignment horizontal="left" vertical="center" shrinkToFit="1"/>
    </xf>
    <xf numFmtId="0" fontId="7" fillId="8" borderId="21" xfId="0" applyFont="1" applyFill="1" applyBorder="1" applyAlignment="1">
      <alignment horizontal="left" vertical="center" shrinkToFit="1"/>
    </xf>
    <xf numFmtId="0" fontId="7" fillId="8" borderId="5" xfId="0" applyFont="1" applyFill="1" applyBorder="1" applyAlignment="1">
      <alignment horizontal="left" vertical="center" shrinkToFit="1"/>
    </xf>
    <xf numFmtId="0" fontId="7" fillId="8" borderId="13" xfId="0" applyFont="1" applyFill="1" applyBorder="1" applyAlignment="1">
      <alignment horizontal="left" vertical="center" shrinkToFit="1"/>
    </xf>
    <xf numFmtId="0" fontId="7" fillId="0" borderId="0" xfId="0" applyFont="1" applyAlignment="1">
      <alignment horizontal="left" vertical="center" shrinkToFit="1"/>
    </xf>
    <xf numFmtId="0" fontId="7" fillId="0" borderId="22" xfId="0" applyFont="1" applyBorder="1" applyAlignment="1">
      <alignment horizontal="left" vertical="center" shrinkToFit="1"/>
    </xf>
    <xf numFmtId="0" fontId="7" fillId="0" borderId="11" xfId="0" applyFont="1" applyBorder="1" applyAlignment="1">
      <alignment horizontal="left" vertical="center" shrinkToFit="1"/>
    </xf>
    <xf numFmtId="0" fontId="7" fillId="0" borderId="23" xfId="0" applyFont="1" applyBorder="1" applyAlignment="1">
      <alignment horizontal="left" vertical="center" shrinkToFit="1"/>
    </xf>
    <xf numFmtId="0" fontId="7" fillId="0" borderId="7" xfId="0" applyFont="1" applyBorder="1" applyAlignment="1">
      <alignment horizontal="left" vertical="center" shrinkToFit="1"/>
    </xf>
    <xf numFmtId="0" fontId="7" fillId="0" borderId="24" xfId="0" applyFont="1" applyBorder="1" applyAlignment="1">
      <alignment horizontal="left" vertical="center" shrinkToFit="1"/>
    </xf>
    <xf numFmtId="0" fontId="7" fillId="0" borderId="9" xfId="0" applyFont="1" applyBorder="1" applyAlignment="1">
      <alignment horizontal="left" vertical="center" shrinkToFit="1"/>
    </xf>
    <xf numFmtId="0" fontId="7" fillId="0" borderId="25" xfId="0" applyFont="1" applyBorder="1" applyAlignment="1">
      <alignment horizontal="left" vertical="center" shrinkToFit="1"/>
    </xf>
    <xf numFmtId="0" fontId="7" fillId="0" borderId="6" xfId="0" applyFont="1" applyBorder="1" applyAlignment="1">
      <alignment horizontal="left" vertical="center" shrinkToFit="1"/>
    </xf>
    <xf numFmtId="0" fontId="10" fillId="0" borderId="25" xfId="0" applyFont="1" applyBorder="1">
      <alignment vertical="center"/>
    </xf>
    <xf numFmtId="0" fontId="7" fillId="0" borderId="10" xfId="0" applyFont="1" applyBorder="1" applyAlignment="1">
      <alignment horizontal="left" vertical="center" shrinkToFit="1"/>
    </xf>
    <xf numFmtId="0" fontId="8" fillId="0" borderId="24" xfId="0" applyFont="1" applyBorder="1" applyAlignment="1">
      <alignment horizontal="left" vertical="center" shrinkToFit="1"/>
    </xf>
    <xf numFmtId="0" fontId="8" fillId="0" borderId="9" xfId="0" applyFont="1" applyBorder="1" applyAlignment="1">
      <alignment horizontal="left" vertical="center" shrinkToFit="1"/>
    </xf>
    <xf numFmtId="0" fontId="10" fillId="0" borderId="25" xfId="0" applyFont="1" applyBorder="1" applyAlignment="1">
      <alignment horizontal="left" vertical="center" shrinkToFit="1"/>
    </xf>
    <xf numFmtId="0" fontId="17" fillId="0" borderId="0" xfId="0" applyFont="1">
      <alignment vertical="center"/>
    </xf>
    <xf numFmtId="0" fontId="6" fillId="0" borderId="25" xfId="0" applyFont="1" applyBorder="1" applyAlignment="1">
      <alignment horizontal="left" vertical="center" shrinkToFit="1"/>
    </xf>
    <xf numFmtId="0" fontId="11" fillId="0" borderId="25" xfId="0" applyFont="1" applyBorder="1" applyAlignment="1">
      <alignment horizontal="left" vertical="center" shrinkToFit="1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38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41" fontId="14" fillId="0" borderId="0" xfId="1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4" fillId="10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38" fontId="14" fillId="10" borderId="0" xfId="0" applyNumberFormat="1" applyFont="1" applyFill="1" applyAlignment="1">
      <alignment horizontal="center" vertical="center"/>
    </xf>
    <xf numFmtId="0" fontId="14" fillId="0" borderId="0" xfId="0" applyFont="1">
      <alignment vertical="center"/>
    </xf>
    <xf numFmtId="176" fontId="14" fillId="0" borderId="9" xfId="0" applyNumberFormat="1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38" fontId="14" fillId="0" borderId="11" xfId="0" applyNumberFormat="1" applyFont="1" applyBorder="1" applyAlignment="1">
      <alignment horizontal="center" vertical="center"/>
    </xf>
    <xf numFmtId="38" fontId="14" fillId="0" borderId="19" xfId="0" applyNumberFormat="1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41" fontId="14" fillId="0" borderId="9" xfId="0" applyNumberFormat="1" applyFont="1" applyBorder="1" applyAlignment="1">
      <alignment horizontal="center" vertical="center"/>
    </xf>
    <xf numFmtId="41" fontId="14" fillId="15" borderId="9" xfId="0" applyNumberFormat="1" applyFont="1" applyFill="1" applyBorder="1" applyAlignment="1">
      <alignment horizontal="center" vertical="center"/>
    </xf>
    <xf numFmtId="41" fontId="14" fillId="0" borderId="12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14" borderId="0" xfId="0" applyFont="1" applyFill="1" applyAlignment="1">
      <alignment horizontal="center" vertical="center"/>
    </xf>
    <xf numFmtId="0" fontId="16" fillId="14" borderId="0" xfId="0" applyFont="1" applyFill="1" applyAlignment="1">
      <alignment horizontal="center" vertical="center"/>
    </xf>
    <xf numFmtId="38" fontId="14" fillId="14" borderId="0" xfId="0" applyNumberFormat="1" applyFont="1" applyFill="1" applyAlignment="1">
      <alignment horizontal="center" vertical="center"/>
    </xf>
    <xf numFmtId="41" fontId="14" fillId="0" borderId="0" xfId="1" applyFont="1" applyBorder="1" applyAlignment="1">
      <alignment horizontal="left" vertical="center"/>
    </xf>
    <xf numFmtId="41" fontId="14" fillId="0" borderId="0" xfId="0" applyNumberFormat="1" applyFont="1" applyAlignment="1">
      <alignment horizontal="left" vertical="center"/>
    </xf>
    <xf numFmtId="176" fontId="14" fillId="0" borderId="0" xfId="0" applyNumberFormat="1" applyFont="1" applyAlignment="1">
      <alignment horizontal="center" vertical="center"/>
    </xf>
    <xf numFmtId="0" fontId="24" fillId="0" borderId="25" xfId="0" applyFont="1" applyBorder="1" applyAlignment="1">
      <alignment horizontal="left" vertical="center" shrinkToFit="1"/>
    </xf>
    <xf numFmtId="0" fontId="25" fillId="0" borderId="11" xfId="0" applyFont="1" applyBorder="1" applyAlignment="1">
      <alignment horizontal="left" vertical="center" shrinkToFit="1"/>
    </xf>
    <xf numFmtId="41" fontId="25" fillId="0" borderId="9" xfId="0" applyNumberFormat="1" applyFont="1" applyBorder="1" applyAlignment="1">
      <alignment horizontal="center" vertical="center"/>
    </xf>
    <xf numFmtId="41" fontId="26" fillId="0" borderId="9" xfId="0" applyNumberFormat="1" applyFont="1" applyBorder="1" applyAlignment="1">
      <alignment horizontal="center" vertical="center"/>
    </xf>
    <xf numFmtId="0" fontId="24" fillId="0" borderId="6" xfId="0" applyFont="1" applyBorder="1" applyAlignment="1">
      <alignment horizontal="left" vertical="center" shrinkToFit="1"/>
    </xf>
    <xf numFmtId="0" fontId="12" fillId="0" borderId="25" xfId="0" applyFont="1" applyBorder="1" applyAlignment="1">
      <alignment horizontal="left" vertical="center" shrinkToFit="1"/>
    </xf>
    <xf numFmtId="0" fontId="6" fillId="0" borderId="6" xfId="0" applyFont="1" applyBorder="1" applyAlignment="1">
      <alignment horizontal="left" vertical="center" shrinkToFit="1"/>
    </xf>
    <xf numFmtId="0" fontId="6" fillId="0" borderId="0" xfId="0" applyFont="1" applyAlignment="1">
      <alignment horizontal="left" vertical="center" shrinkToFit="1"/>
    </xf>
    <xf numFmtId="179" fontId="6" fillId="0" borderId="6" xfId="0" applyNumberFormat="1" applyFont="1" applyBorder="1" applyAlignment="1">
      <alignment horizontal="left" vertical="center" shrinkToFit="1"/>
    </xf>
    <xf numFmtId="0" fontId="14" fillId="9" borderId="3" xfId="0" applyFont="1" applyFill="1" applyBorder="1" applyAlignment="1">
      <alignment horizontal="center" vertical="center"/>
    </xf>
    <xf numFmtId="0" fontId="30" fillId="0" borderId="0" xfId="0" applyFont="1">
      <alignment vertical="center"/>
    </xf>
    <xf numFmtId="0" fontId="31" fillId="0" borderId="25" xfId="0" applyFont="1" applyBorder="1" applyAlignment="1">
      <alignment horizontal="left" vertical="center" shrinkToFit="1"/>
    </xf>
    <xf numFmtId="41" fontId="14" fillId="0" borderId="26" xfId="0" applyNumberFormat="1" applyFont="1" applyBorder="1" applyAlignment="1">
      <alignment horizontal="center" vertical="center"/>
    </xf>
    <xf numFmtId="0" fontId="16" fillId="7" borderId="3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/>
    </xf>
    <xf numFmtId="0" fontId="36" fillId="7" borderId="30" xfId="0" applyFont="1" applyFill="1" applyBorder="1" applyAlignment="1">
      <alignment horizontal="center" vertical="center"/>
    </xf>
    <xf numFmtId="0" fontId="36" fillId="7" borderId="30" xfId="0" applyFont="1" applyFill="1" applyBorder="1" applyAlignment="1">
      <alignment horizontal="center" vertical="center" wrapText="1"/>
    </xf>
    <xf numFmtId="0" fontId="28" fillId="7" borderId="30" xfId="0" applyFont="1" applyFill="1" applyBorder="1" applyAlignment="1">
      <alignment horizontal="center" vertical="center"/>
    </xf>
    <xf numFmtId="0" fontId="16" fillId="2" borderId="30" xfId="0" applyFont="1" applyFill="1" applyBorder="1" applyAlignment="1">
      <alignment horizontal="center" vertical="center"/>
    </xf>
    <xf numFmtId="0" fontId="16" fillId="3" borderId="35" xfId="0" applyFont="1" applyFill="1" applyBorder="1" applyAlignment="1">
      <alignment horizontal="center" vertical="center"/>
    </xf>
    <xf numFmtId="38" fontId="16" fillId="3" borderId="35" xfId="0" applyNumberFormat="1" applyFont="1" applyFill="1" applyBorder="1" applyAlignment="1">
      <alignment horizontal="center" vertical="center"/>
    </xf>
    <xf numFmtId="0" fontId="14" fillId="6" borderId="20" xfId="0" applyFont="1" applyFill="1" applyBorder="1" applyAlignment="1">
      <alignment horizontal="center" vertical="center"/>
    </xf>
    <xf numFmtId="38" fontId="14" fillId="0" borderId="29" xfId="0" applyNumberFormat="1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178" fontId="23" fillId="0" borderId="30" xfId="0" applyNumberFormat="1" applyFont="1" applyBorder="1" applyAlignment="1">
      <alignment horizontal="center" vertical="center"/>
    </xf>
    <xf numFmtId="176" fontId="33" fillId="7" borderId="30" xfId="0" applyNumberFormat="1" applyFont="1" applyFill="1" applyBorder="1" applyAlignment="1">
      <alignment horizontal="center" vertical="center"/>
    </xf>
    <xf numFmtId="38" fontId="16" fillId="7" borderId="30" xfId="0" applyNumberFormat="1" applyFont="1" applyFill="1" applyBorder="1" applyAlignment="1">
      <alignment horizontal="center" vertical="center"/>
    </xf>
    <xf numFmtId="38" fontId="28" fillId="7" borderId="30" xfId="0" applyNumberFormat="1" applyFont="1" applyFill="1" applyBorder="1" applyAlignment="1">
      <alignment horizontal="center" vertical="center"/>
    </xf>
    <xf numFmtId="0" fontId="32" fillId="7" borderId="30" xfId="0" applyFont="1" applyFill="1" applyBorder="1" applyAlignment="1">
      <alignment horizontal="center" vertical="center" wrapText="1"/>
    </xf>
    <xf numFmtId="0" fontId="32" fillId="7" borderId="30" xfId="0" applyFont="1" applyFill="1" applyBorder="1" applyAlignment="1">
      <alignment horizontal="center" vertical="center"/>
    </xf>
    <xf numFmtId="38" fontId="21" fillId="7" borderId="30" xfId="0" applyNumberFormat="1" applyFont="1" applyFill="1" applyBorder="1" applyAlignment="1">
      <alignment horizontal="center" vertical="center"/>
    </xf>
    <xf numFmtId="0" fontId="28" fillId="2" borderId="30" xfId="0" applyFont="1" applyFill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176" fontId="14" fillId="7" borderId="33" xfId="0" applyNumberFormat="1" applyFont="1" applyFill="1" applyBorder="1" applyAlignment="1">
      <alignment horizontal="center" vertical="center"/>
    </xf>
    <xf numFmtId="176" fontId="14" fillId="0" borderId="39" xfId="0" applyNumberFormat="1" applyFont="1" applyBorder="1" applyAlignment="1">
      <alignment horizontal="left" vertical="center"/>
    </xf>
    <xf numFmtId="0" fontId="16" fillId="4" borderId="32" xfId="0" applyFont="1" applyFill="1" applyBorder="1" applyAlignment="1">
      <alignment horizontal="center" vertical="center"/>
    </xf>
    <xf numFmtId="38" fontId="16" fillId="4" borderId="32" xfId="0" applyNumberFormat="1" applyFont="1" applyFill="1" applyBorder="1" applyAlignment="1">
      <alignment horizontal="center" vertical="center"/>
    </xf>
    <xf numFmtId="0" fontId="28" fillId="7" borderId="37" xfId="0" applyFont="1" applyFill="1" applyBorder="1" applyAlignment="1">
      <alignment horizontal="center" vertical="center"/>
    </xf>
    <xf numFmtId="0" fontId="14" fillId="0" borderId="39" xfId="0" applyFont="1" applyBorder="1" applyAlignment="1">
      <alignment horizontal="left" vertical="center"/>
    </xf>
    <xf numFmtId="0" fontId="14" fillId="0" borderId="39" xfId="0" applyFont="1" applyBorder="1" applyAlignment="1">
      <alignment horizontal="left" vertical="center" shrinkToFit="1"/>
    </xf>
    <xf numFmtId="0" fontId="14" fillId="7" borderId="39" xfId="0" applyFont="1" applyFill="1" applyBorder="1" applyAlignment="1">
      <alignment horizontal="left" vertical="center" shrinkToFit="1"/>
    </xf>
    <xf numFmtId="0" fontId="32" fillId="7" borderId="42" xfId="0" applyFont="1" applyFill="1" applyBorder="1" applyAlignment="1">
      <alignment horizontal="center" vertical="center" wrapText="1"/>
    </xf>
    <xf numFmtId="38" fontId="16" fillId="7" borderId="42" xfId="0" applyNumberFormat="1" applyFont="1" applyFill="1" applyBorder="1" applyAlignment="1">
      <alignment horizontal="center" vertical="center"/>
    </xf>
    <xf numFmtId="38" fontId="21" fillId="7" borderId="42" xfId="0" applyNumberFormat="1" applyFont="1" applyFill="1" applyBorder="1" applyAlignment="1">
      <alignment horizontal="center" vertical="center"/>
    </xf>
    <xf numFmtId="0" fontId="16" fillId="7" borderId="42" xfId="0" applyFont="1" applyFill="1" applyBorder="1" applyAlignment="1">
      <alignment horizontal="center" vertical="center"/>
    </xf>
    <xf numFmtId="38" fontId="16" fillId="7" borderId="37" xfId="0" applyNumberFormat="1" applyFont="1" applyFill="1" applyBorder="1" applyAlignment="1">
      <alignment horizontal="center" vertical="center"/>
    </xf>
    <xf numFmtId="38" fontId="21" fillId="7" borderId="37" xfId="0" applyNumberFormat="1" applyFont="1" applyFill="1" applyBorder="1" applyAlignment="1">
      <alignment horizontal="center" vertical="center"/>
    </xf>
    <xf numFmtId="0" fontId="28" fillId="2" borderId="37" xfId="0" applyFont="1" applyFill="1" applyBorder="1" applyAlignment="1">
      <alignment horizontal="center" vertical="center"/>
    </xf>
    <xf numFmtId="0" fontId="16" fillId="7" borderId="37" xfId="0" applyFont="1" applyFill="1" applyBorder="1" applyAlignment="1">
      <alignment horizontal="center" vertical="center"/>
    </xf>
    <xf numFmtId="178" fontId="23" fillId="0" borderId="49" xfId="0" applyNumberFormat="1" applyFont="1" applyBorder="1" applyAlignment="1">
      <alignment horizontal="center" vertical="center"/>
    </xf>
    <xf numFmtId="38" fontId="21" fillId="7" borderId="49" xfId="0" applyNumberFormat="1" applyFont="1" applyFill="1" applyBorder="1" applyAlignment="1">
      <alignment horizontal="center" vertical="center"/>
    </xf>
    <xf numFmtId="38" fontId="21" fillId="7" borderId="50" xfId="0" applyNumberFormat="1" applyFont="1" applyFill="1" applyBorder="1" applyAlignment="1">
      <alignment horizontal="center" vertical="center"/>
    </xf>
    <xf numFmtId="0" fontId="16" fillId="4" borderId="48" xfId="0" applyFont="1" applyFill="1" applyBorder="1" applyAlignment="1">
      <alignment horizontal="center" vertical="center"/>
    </xf>
    <xf numFmtId="0" fontId="16" fillId="2" borderId="49" xfId="0" applyFont="1" applyFill="1" applyBorder="1" applyAlignment="1">
      <alignment horizontal="center" vertical="center"/>
    </xf>
    <xf numFmtId="0" fontId="16" fillId="7" borderId="49" xfId="0" applyFont="1" applyFill="1" applyBorder="1" applyAlignment="1">
      <alignment horizontal="center" vertical="center"/>
    </xf>
    <xf numFmtId="38" fontId="16" fillId="7" borderId="39" xfId="0" applyNumberFormat="1" applyFont="1" applyFill="1" applyBorder="1" applyAlignment="1">
      <alignment horizontal="center" vertical="center"/>
    </xf>
    <xf numFmtId="0" fontId="28" fillId="7" borderId="49" xfId="0" applyFont="1" applyFill="1" applyBorder="1" applyAlignment="1">
      <alignment horizontal="center" vertical="center"/>
    </xf>
    <xf numFmtId="178" fontId="16" fillId="0" borderId="49" xfId="0" applyNumberFormat="1" applyFont="1" applyBorder="1" applyAlignment="1">
      <alignment horizontal="center" vertical="center"/>
    </xf>
    <xf numFmtId="0" fontId="22" fillId="7" borderId="39" xfId="0" applyFont="1" applyFill="1" applyBorder="1" applyAlignment="1">
      <alignment horizontal="center" vertical="center"/>
    </xf>
    <xf numFmtId="182" fontId="16" fillId="0" borderId="39" xfId="0" applyNumberFormat="1" applyFont="1" applyBorder="1" applyAlignment="1">
      <alignment horizontal="center" vertical="center"/>
    </xf>
    <xf numFmtId="0" fontId="16" fillId="3" borderId="54" xfId="0" applyFont="1" applyFill="1" applyBorder="1" applyAlignment="1">
      <alignment horizontal="center" vertical="center"/>
    </xf>
    <xf numFmtId="0" fontId="16" fillId="3" borderId="38" xfId="0" applyFont="1" applyFill="1" applyBorder="1" applyAlignment="1">
      <alignment horizontal="center" vertical="center"/>
    </xf>
    <xf numFmtId="0" fontId="14" fillId="7" borderId="40" xfId="0" applyFont="1" applyFill="1" applyBorder="1" applyAlignment="1">
      <alignment horizontal="center" vertical="center"/>
    </xf>
    <xf numFmtId="0" fontId="16" fillId="7" borderId="40" xfId="0" applyFont="1" applyFill="1" applyBorder="1" applyAlignment="1">
      <alignment horizontal="center" vertical="center"/>
    </xf>
    <xf numFmtId="0" fontId="18" fillId="7" borderId="40" xfId="0" applyFont="1" applyFill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16" fillId="7" borderId="57" xfId="0" applyFont="1" applyFill="1" applyBorder="1" applyAlignment="1">
      <alignment horizontal="center" vertical="center"/>
    </xf>
    <xf numFmtId="0" fontId="16" fillId="2" borderId="44" xfId="0" applyFont="1" applyFill="1" applyBorder="1" applyAlignment="1">
      <alignment horizontal="center" vertical="center"/>
    </xf>
    <xf numFmtId="0" fontId="16" fillId="2" borderId="51" xfId="0" applyFont="1" applyFill="1" applyBorder="1" applyAlignment="1">
      <alignment horizontal="center" vertical="center"/>
    </xf>
    <xf numFmtId="0" fontId="16" fillId="2" borderId="45" xfId="0" applyFont="1" applyFill="1" applyBorder="1" applyAlignment="1">
      <alignment horizontal="center" vertical="center"/>
    </xf>
    <xf numFmtId="0" fontId="16" fillId="2" borderId="53" xfId="0" applyFont="1" applyFill="1" applyBorder="1" applyAlignment="1">
      <alignment horizontal="center" vertical="center"/>
    </xf>
    <xf numFmtId="38" fontId="16" fillId="2" borderId="45" xfId="0" applyNumberFormat="1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left" vertical="center"/>
    </xf>
    <xf numFmtId="0" fontId="36" fillId="7" borderId="42" xfId="0" applyFont="1" applyFill="1" applyBorder="1" applyAlignment="1">
      <alignment horizontal="center" vertical="center"/>
    </xf>
    <xf numFmtId="0" fontId="16" fillId="7" borderId="50" xfId="0" applyFont="1" applyFill="1" applyBorder="1" applyAlignment="1">
      <alignment horizontal="center" vertical="center"/>
    </xf>
    <xf numFmtId="0" fontId="16" fillId="7" borderId="43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left" vertical="center" shrinkToFit="1"/>
    </xf>
    <xf numFmtId="0" fontId="16" fillId="3" borderId="58" xfId="0" applyFont="1" applyFill="1" applyBorder="1" applyAlignment="1">
      <alignment horizontal="center" vertical="center"/>
    </xf>
    <xf numFmtId="0" fontId="16" fillId="3" borderId="59" xfId="0" applyFont="1" applyFill="1" applyBorder="1" applyAlignment="1">
      <alignment horizontal="center" vertical="center"/>
    </xf>
    <xf numFmtId="0" fontId="16" fillId="3" borderId="60" xfId="0" applyFont="1" applyFill="1" applyBorder="1" applyAlignment="1">
      <alignment horizontal="center" vertical="center"/>
    </xf>
    <xf numFmtId="0" fontId="16" fillId="3" borderId="61" xfId="0" applyFont="1" applyFill="1" applyBorder="1" applyAlignment="1">
      <alignment horizontal="center" vertical="center"/>
    </xf>
    <xf numFmtId="38" fontId="16" fillId="3" borderId="60" xfId="0" applyNumberFormat="1" applyFont="1" applyFill="1" applyBorder="1" applyAlignment="1">
      <alignment horizontal="center" vertical="center"/>
    </xf>
    <xf numFmtId="0" fontId="14" fillId="3" borderId="62" xfId="0" applyFont="1" applyFill="1" applyBorder="1" applyAlignment="1">
      <alignment horizontal="left" vertical="center"/>
    </xf>
    <xf numFmtId="38" fontId="28" fillId="5" borderId="37" xfId="0" applyNumberFormat="1" applyFont="1" applyFill="1" applyBorder="1" applyAlignment="1">
      <alignment horizontal="center" vertical="center"/>
    </xf>
    <xf numFmtId="38" fontId="28" fillId="4" borderId="36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9" fillId="0" borderId="1" xfId="0" applyFont="1" applyBorder="1">
      <alignment vertical="center"/>
    </xf>
    <xf numFmtId="0" fontId="29" fillId="0" borderId="39" xfId="0" applyFont="1" applyBorder="1" applyAlignment="1">
      <alignment horizontal="left" vertical="center"/>
    </xf>
    <xf numFmtId="38" fontId="37" fillId="7" borderId="30" xfId="0" applyNumberFormat="1" applyFont="1" applyFill="1" applyBorder="1" applyAlignment="1">
      <alignment horizontal="center" vertical="center"/>
    </xf>
    <xf numFmtId="38" fontId="28" fillId="7" borderId="42" xfId="0" applyNumberFormat="1" applyFont="1" applyFill="1" applyBorder="1" applyAlignment="1">
      <alignment horizontal="center" vertical="center"/>
    </xf>
    <xf numFmtId="0" fontId="28" fillId="3" borderId="38" xfId="0" applyFont="1" applyFill="1" applyBorder="1" applyAlignment="1">
      <alignment horizontal="center" vertical="center"/>
    </xf>
    <xf numFmtId="0" fontId="28" fillId="2" borderId="44" xfId="0" applyFont="1" applyFill="1" applyBorder="1" applyAlignment="1">
      <alignment horizontal="center" vertical="center"/>
    </xf>
    <xf numFmtId="0" fontId="28" fillId="2" borderId="45" xfId="0" applyFont="1" applyFill="1" applyBorder="1" applyAlignment="1">
      <alignment horizontal="center" vertical="center"/>
    </xf>
    <xf numFmtId="0" fontId="28" fillId="3" borderId="58" xfId="0" applyFont="1" applyFill="1" applyBorder="1" applyAlignment="1">
      <alignment horizontal="center" vertical="center"/>
    </xf>
    <xf numFmtId="0" fontId="28" fillId="3" borderId="60" xfId="0" applyFont="1" applyFill="1" applyBorder="1" applyAlignment="1">
      <alignment horizontal="center" vertical="center"/>
    </xf>
    <xf numFmtId="38" fontId="16" fillId="7" borderId="38" xfId="0" applyNumberFormat="1" applyFont="1" applyFill="1" applyBorder="1" applyAlignment="1">
      <alignment horizontal="center" vertical="center"/>
    </xf>
    <xf numFmtId="0" fontId="28" fillId="4" borderId="40" xfId="0" applyFont="1" applyFill="1" applyBorder="1" applyAlignment="1">
      <alignment horizontal="center" vertical="center"/>
    </xf>
    <xf numFmtId="0" fontId="16" fillId="4" borderId="57" xfId="0" applyFont="1" applyFill="1" applyBorder="1" applyAlignment="1">
      <alignment horizontal="center" vertical="center"/>
    </xf>
    <xf numFmtId="176" fontId="36" fillId="7" borderId="55" xfId="0" applyNumberFormat="1" applyFont="1" applyFill="1" applyBorder="1" applyAlignment="1">
      <alignment horizontal="center" vertical="center"/>
    </xf>
    <xf numFmtId="176" fontId="34" fillId="7" borderId="42" xfId="0" applyNumberFormat="1" applyFont="1" applyFill="1" applyBorder="1" applyAlignment="1">
      <alignment horizontal="center" vertical="center"/>
    </xf>
    <xf numFmtId="38" fontId="37" fillId="7" borderId="42" xfId="0" applyNumberFormat="1" applyFont="1" applyFill="1" applyBorder="1" applyAlignment="1">
      <alignment horizontal="center" vertical="center"/>
    </xf>
    <xf numFmtId="38" fontId="37" fillId="7" borderId="50" xfId="0" applyNumberFormat="1" applyFont="1" applyFill="1" applyBorder="1" applyAlignment="1">
      <alignment horizontal="center" vertical="center"/>
    </xf>
    <xf numFmtId="0" fontId="28" fillId="4" borderId="57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7" borderId="30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/>
    </xf>
    <xf numFmtId="0" fontId="28" fillId="7" borderId="43" xfId="0" applyFont="1" applyFill="1" applyBorder="1" applyAlignment="1">
      <alignment horizontal="center" vertical="center"/>
    </xf>
    <xf numFmtId="0" fontId="35" fillId="7" borderId="30" xfId="0" applyFont="1" applyFill="1" applyBorder="1" applyAlignment="1">
      <alignment horizontal="center" vertical="center"/>
    </xf>
    <xf numFmtId="38" fontId="37" fillId="7" borderId="49" xfId="0" applyNumberFormat="1" applyFont="1" applyFill="1" applyBorder="1" applyAlignment="1">
      <alignment horizontal="center" vertical="center"/>
    </xf>
    <xf numFmtId="38" fontId="28" fillId="7" borderId="49" xfId="0" applyNumberFormat="1" applyFont="1" applyFill="1" applyBorder="1" applyAlignment="1">
      <alignment horizontal="center" vertical="center"/>
    </xf>
    <xf numFmtId="176" fontId="40" fillId="7" borderId="55" xfId="0" applyNumberFormat="1" applyFont="1" applyFill="1" applyBorder="1" applyAlignment="1">
      <alignment horizontal="center" vertical="center"/>
    </xf>
    <xf numFmtId="176" fontId="32" fillId="7" borderId="30" xfId="0" applyNumberFormat="1" applyFont="1" applyFill="1" applyBorder="1" applyAlignment="1">
      <alignment horizontal="center" vertical="center"/>
    </xf>
    <xf numFmtId="176" fontId="41" fillId="7" borderId="30" xfId="0" applyNumberFormat="1" applyFont="1" applyFill="1" applyBorder="1" applyAlignment="1">
      <alignment horizontal="center" vertical="center"/>
    </xf>
    <xf numFmtId="176" fontId="42" fillId="7" borderId="30" xfId="0" applyNumberFormat="1" applyFont="1" applyFill="1" applyBorder="1" applyAlignment="1">
      <alignment horizontal="center" vertical="center"/>
    </xf>
    <xf numFmtId="176" fontId="43" fillId="7" borderId="33" xfId="0" applyNumberFormat="1" applyFont="1" applyFill="1" applyBorder="1" applyAlignment="1">
      <alignment horizontal="center" vertical="center"/>
    </xf>
    <xf numFmtId="176" fontId="41" fillId="7" borderId="30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28" fillId="10" borderId="0" xfId="0" applyFont="1" applyFill="1" applyAlignment="1">
      <alignment horizontal="center" vertical="center"/>
    </xf>
    <xf numFmtId="178" fontId="28" fillId="0" borderId="49" xfId="0" applyNumberFormat="1" applyFont="1" applyBorder="1" applyAlignment="1">
      <alignment horizontal="center" vertical="center"/>
    </xf>
    <xf numFmtId="38" fontId="28" fillId="7" borderId="37" xfId="0" applyNumberFormat="1" applyFont="1" applyFill="1" applyBorder="1" applyAlignment="1">
      <alignment horizontal="center" vertical="center"/>
    </xf>
    <xf numFmtId="38" fontId="37" fillId="7" borderId="37" xfId="0" applyNumberFormat="1" applyFont="1" applyFill="1" applyBorder="1" applyAlignment="1">
      <alignment horizontal="center" vertical="center"/>
    </xf>
    <xf numFmtId="38" fontId="28" fillId="7" borderId="35" xfId="0" applyNumberFormat="1" applyFont="1" applyFill="1" applyBorder="1" applyAlignment="1">
      <alignment horizontal="center" vertical="center"/>
    </xf>
    <xf numFmtId="38" fontId="28" fillId="7" borderId="54" xfId="0" applyNumberFormat="1" applyFont="1" applyFill="1" applyBorder="1" applyAlignment="1">
      <alignment horizontal="center" vertical="center"/>
    </xf>
    <xf numFmtId="38" fontId="28" fillId="7" borderId="38" xfId="0" applyNumberFormat="1" applyFont="1" applyFill="1" applyBorder="1" applyAlignment="1">
      <alignment horizontal="center" vertical="center"/>
    </xf>
    <xf numFmtId="0" fontId="28" fillId="3" borderId="35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28" fillId="7" borderId="56" xfId="0" applyFont="1" applyFill="1" applyBorder="1" applyAlignment="1">
      <alignment horizontal="center" vertical="center"/>
    </xf>
    <xf numFmtId="0" fontId="28" fillId="7" borderId="57" xfId="0" applyFont="1" applyFill="1" applyBorder="1" applyAlignment="1">
      <alignment horizontal="center" vertical="center"/>
    </xf>
    <xf numFmtId="0" fontId="28" fillId="7" borderId="50" xfId="0" applyFont="1" applyFill="1" applyBorder="1" applyAlignment="1">
      <alignment horizontal="center" vertical="center"/>
    </xf>
    <xf numFmtId="0" fontId="28" fillId="2" borderId="51" xfId="0" applyFont="1" applyFill="1" applyBorder="1" applyAlignment="1">
      <alignment horizontal="center" vertical="center"/>
    </xf>
    <xf numFmtId="0" fontId="28" fillId="3" borderId="59" xfId="0" applyFont="1" applyFill="1" applyBorder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38" fontId="28" fillId="17" borderId="36" xfId="0" applyNumberFormat="1" applyFont="1" applyFill="1" applyBorder="1" applyAlignment="1">
      <alignment horizontal="center" vertical="center"/>
    </xf>
    <xf numFmtId="38" fontId="28" fillId="3" borderId="36" xfId="0" applyNumberFormat="1" applyFont="1" applyFill="1" applyBorder="1" applyAlignment="1">
      <alignment horizontal="center" vertical="center"/>
    </xf>
    <xf numFmtId="38" fontId="16" fillId="5" borderId="37" xfId="0" applyNumberFormat="1" applyFont="1" applyFill="1" applyBorder="1" applyAlignment="1">
      <alignment horizontal="center" vertical="center"/>
    </xf>
    <xf numFmtId="0" fontId="45" fillId="7" borderId="0" xfId="0" applyFont="1" applyFill="1" applyAlignment="1">
      <alignment horizontal="center" vertical="center"/>
    </xf>
    <xf numFmtId="0" fontId="41" fillId="7" borderId="42" xfId="0" applyFont="1" applyFill="1" applyBorder="1" applyAlignment="1">
      <alignment horizontal="center" vertical="center" wrapText="1"/>
    </xf>
    <xf numFmtId="176" fontId="44" fillId="7" borderId="33" xfId="0" applyNumberFormat="1" applyFont="1" applyFill="1" applyBorder="1" applyAlignment="1">
      <alignment horizontal="center" vertical="center"/>
    </xf>
    <xf numFmtId="0" fontId="19" fillId="7" borderId="30" xfId="0" applyFont="1" applyFill="1" applyBorder="1" applyAlignment="1">
      <alignment horizontal="center" vertical="center"/>
    </xf>
    <xf numFmtId="0" fontId="19" fillId="7" borderId="49" xfId="0" applyFont="1" applyFill="1" applyBorder="1" applyAlignment="1">
      <alignment horizontal="center" vertical="center"/>
    </xf>
    <xf numFmtId="176" fontId="42" fillId="7" borderId="30" xfId="0" applyNumberFormat="1" applyFont="1" applyFill="1" applyBorder="1" applyAlignment="1">
      <alignment horizontal="center" vertical="center" wrapText="1"/>
    </xf>
    <xf numFmtId="0" fontId="38" fillId="7" borderId="30" xfId="0" applyFont="1" applyFill="1" applyBorder="1" applyAlignment="1">
      <alignment horizontal="center" vertical="center"/>
    </xf>
    <xf numFmtId="0" fontId="32" fillId="7" borderId="0" xfId="0" applyFont="1" applyFill="1" applyAlignment="1">
      <alignment horizontal="center" vertical="center"/>
    </xf>
    <xf numFmtId="17" fontId="14" fillId="0" borderId="39" xfId="0" applyNumberFormat="1" applyFont="1" applyBorder="1" applyAlignment="1">
      <alignment horizontal="left" vertical="center" shrinkToFit="1"/>
    </xf>
    <xf numFmtId="0" fontId="35" fillId="7" borderId="30" xfId="0" applyFont="1" applyFill="1" applyBorder="1" applyAlignment="1">
      <alignment horizontal="center" vertical="center" wrapText="1"/>
    </xf>
    <xf numFmtId="0" fontId="45" fillId="7" borderId="30" xfId="0" applyFont="1" applyFill="1" applyBorder="1" applyAlignment="1">
      <alignment horizontal="center" vertical="center" wrapText="1"/>
    </xf>
    <xf numFmtId="176" fontId="14" fillId="7" borderId="41" xfId="0" applyNumberFormat="1" applyFont="1" applyFill="1" applyBorder="1" applyAlignment="1">
      <alignment horizontal="center" vertical="center"/>
    </xf>
    <xf numFmtId="0" fontId="14" fillId="7" borderId="0" xfId="0" applyFont="1" applyFill="1" applyAlignment="1">
      <alignment horizontal="left" vertical="center"/>
    </xf>
    <xf numFmtId="0" fontId="16" fillId="7" borderId="52" xfId="0" applyFont="1" applyFill="1" applyBorder="1" applyAlignment="1">
      <alignment horizontal="center" vertical="center"/>
    </xf>
    <xf numFmtId="176" fontId="32" fillId="0" borderId="55" xfId="0" applyNumberFormat="1" applyFont="1" applyBorder="1" applyAlignment="1">
      <alignment horizontal="center" vertical="center"/>
    </xf>
    <xf numFmtId="0" fontId="40" fillId="7" borderId="30" xfId="0" applyFont="1" applyFill="1" applyBorder="1" applyAlignment="1">
      <alignment horizontal="center" vertical="center" wrapText="1"/>
    </xf>
    <xf numFmtId="38" fontId="16" fillId="5" borderId="57" xfId="0" applyNumberFormat="1" applyFont="1" applyFill="1" applyBorder="1" applyAlignment="1">
      <alignment horizontal="center" vertical="center"/>
    </xf>
    <xf numFmtId="0" fontId="18" fillId="7" borderId="39" xfId="0" applyFont="1" applyFill="1" applyBorder="1" applyAlignment="1">
      <alignment horizontal="center" vertical="center"/>
    </xf>
    <xf numFmtId="0" fontId="18" fillId="7" borderId="64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69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38" fontId="16" fillId="5" borderId="67" xfId="0" applyNumberFormat="1" applyFont="1" applyFill="1" applyBorder="1" applyAlignment="1">
      <alignment horizontal="center" vertical="center"/>
    </xf>
    <xf numFmtId="38" fontId="16" fillId="5" borderId="68" xfId="0" applyNumberFormat="1" applyFont="1" applyFill="1" applyBorder="1" applyAlignment="1">
      <alignment horizontal="center" vertical="center"/>
    </xf>
    <xf numFmtId="38" fontId="16" fillId="5" borderId="57" xfId="0" applyNumberFormat="1" applyFont="1" applyFill="1" applyBorder="1" applyAlignment="1">
      <alignment horizontal="center" vertical="center"/>
    </xf>
    <xf numFmtId="0" fontId="18" fillId="7" borderId="63" xfId="0" applyFont="1" applyFill="1" applyBorder="1" applyAlignment="1">
      <alignment horizontal="center" vertical="center"/>
    </xf>
    <xf numFmtId="0" fontId="18" fillId="7" borderId="39" xfId="0" applyFont="1" applyFill="1" applyBorder="1" applyAlignment="1">
      <alignment horizontal="center" vertical="center"/>
    </xf>
    <xf numFmtId="0" fontId="14" fillId="3" borderId="65" xfId="0" applyFont="1" applyFill="1" applyBorder="1" applyAlignment="1">
      <alignment horizontal="center" vertical="center"/>
    </xf>
    <xf numFmtId="0" fontId="14" fillId="3" borderId="66" xfId="0" applyFont="1" applyFill="1" applyBorder="1" applyAlignment="1">
      <alignment horizontal="center" vertical="center"/>
    </xf>
    <xf numFmtId="0" fontId="14" fillId="3" borderId="46" xfId="0" applyFont="1" applyFill="1" applyBorder="1" applyAlignment="1">
      <alignment horizontal="center" vertical="center"/>
    </xf>
    <xf numFmtId="0" fontId="14" fillId="2" borderId="65" xfId="0" applyFont="1" applyFill="1" applyBorder="1" applyAlignment="1">
      <alignment horizontal="center" vertical="center"/>
    </xf>
    <xf numFmtId="0" fontId="14" fillId="2" borderId="66" xfId="0" applyFont="1" applyFill="1" applyBorder="1" applyAlignment="1">
      <alignment horizontal="center" vertical="center"/>
    </xf>
    <xf numFmtId="0" fontId="14" fillId="2" borderId="46" xfId="0" applyFont="1" applyFill="1" applyBorder="1" applyAlignment="1">
      <alignment horizontal="center" vertical="center"/>
    </xf>
    <xf numFmtId="176" fontId="18" fillId="0" borderId="33" xfId="0" applyNumberFormat="1" applyFont="1" applyBorder="1" applyAlignment="1">
      <alignment horizontal="center" vertical="center"/>
    </xf>
    <xf numFmtId="176" fontId="18" fillId="0" borderId="30" xfId="0" applyNumberFormat="1" applyFont="1" applyBorder="1" applyAlignment="1">
      <alignment horizontal="center" vertical="center"/>
    </xf>
    <xf numFmtId="177" fontId="14" fillId="0" borderId="31" xfId="0" applyNumberFormat="1" applyFont="1" applyBorder="1" applyAlignment="1">
      <alignment horizontal="center" vertical="center"/>
    </xf>
    <xf numFmtId="177" fontId="14" fillId="0" borderId="32" xfId="0" applyNumberFormat="1" applyFont="1" applyBorder="1" applyAlignment="1">
      <alignment horizontal="center" vertical="center"/>
    </xf>
    <xf numFmtId="0" fontId="14" fillId="4" borderId="31" xfId="0" applyFont="1" applyFill="1" applyBorder="1" applyAlignment="1">
      <alignment horizontal="center" vertical="center"/>
    </xf>
    <xf numFmtId="0" fontId="14" fillId="4" borderId="32" xfId="0" applyFont="1" applyFill="1" applyBorder="1" applyAlignment="1">
      <alignment horizontal="center" vertical="center"/>
    </xf>
    <xf numFmtId="0" fontId="14" fillId="2" borderId="33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/>
    </xf>
    <xf numFmtId="0" fontId="15" fillId="7" borderId="30" xfId="0" applyFont="1" applyFill="1" applyBorder="1" applyAlignment="1">
      <alignment horizontal="center" vertical="center"/>
    </xf>
    <xf numFmtId="0" fontId="15" fillId="7" borderId="49" xfId="0" applyFont="1" applyFill="1" applyBorder="1" applyAlignment="1">
      <alignment horizontal="center" vertical="center"/>
    </xf>
    <xf numFmtId="0" fontId="27" fillId="7" borderId="32" xfId="0" applyFont="1" applyFill="1" applyBorder="1" applyAlignment="1">
      <alignment horizontal="center" vertical="center"/>
    </xf>
    <xf numFmtId="0" fontId="16" fillId="7" borderId="32" xfId="0" applyFont="1" applyFill="1" applyBorder="1" applyAlignment="1">
      <alignment horizontal="center" vertical="center"/>
    </xf>
    <xf numFmtId="0" fontId="16" fillId="7" borderId="48" xfId="0" applyFont="1" applyFill="1" applyBorder="1" applyAlignment="1">
      <alignment horizontal="center" vertical="center"/>
    </xf>
    <xf numFmtId="0" fontId="18" fillId="16" borderId="63" xfId="0" applyFont="1" applyFill="1" applyBorder="1" applyAlignment="1">
      <alignment horizontal="center" vertical="center"/>
    </xf>
    <xf numFmtId="0" fontId="18" fillId="16" borderId="64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Z87"/>
  <sheetViews>
    <sheetView tabSelected="1" zoomScale="55" zoomScaleNormal="55" zoomScaleSheetLayoutView="70" workbookViewId="0">
      <selection activeCell="P22" sqref="P22"/>
    </sheetView>
  </sheetViews>
  <sheetFormatPr defaultColWidth="9" defaultRowHeight="35.1" customHeight="1" x14ac:dyDescent="0.3"/>
  <cols>
    <col min="1" max="1" width="9" style="34"/>
    <col min="2" max="2" width="31.625" style="34" customWidth="1"/>
    <col min="3" max="3" width="27.875" style="34" customWidth="1"/>
    <col min="4" max="4" width="80.875" style="39" customWidth="1"/>
    <col min="5" max="8" width="12.625" style="34" hidden="1" customWidth="1"/>
    <col min="9" max="13" width="9" style="37" hidden="1" customWidth="1"/>
    <col min="14" max="14" width="9" style="37" customWidth="1"/>
    <col min="15" max="15" width="12.625" style="38" customWidth="1"/>
    <col min="16" max="16" width="76.5" style="39" customWidth="1"/>
    <col min="17" max="22" width="20.625" style="34" hidden="1" customWidth="1"/>
    <col min="23" max="23" width="22.75" style="34" customWidth="1"/>
    <col min="24" max="24" width="64" style="34" customWidth="1"/>
    <col min="25" max="25" width="15.625" style="34" customWidth="1"/>
    <col min="26" max="26" width="116.875" style="34" customWidth="1"/>
    <col min="27" max="16384" width="9" style="34"/>
  </cols>
  <sheetData>
    <row r="1" spans="2:17" ht="35.1" customHeight="1" x14ac:dyDescent="0.3">
      <c r="D1" s="35" t="s">
        <v>0</v>
      </c>
      <c r="E1" s="34">
        <f t="shared" ref="E1:H1" si="0">(SUM(E2:E4))-E13</f>
        <v>0</v>
      </c>
      <c r="F1" s="34">
        <f t="shared" si="0"/>
        <v>0</v>
      </c>
      <c r="G1" s="34">
        <f t="shared" si="0"/>
        <v>0</v>
      </c>
      <c r="H1" s="34">
        <f t="shared" si="0"/>
        <v>0</v>
      </c>
      <c r="J1" s="187"/>
      <c r="K1" s="187"/>
      <c r="L1" s="187"/>
      <c r="M1" s="187"/>
      <c r="N1" s="37">
        <f t="shared" ref="N1" si="1">(SUM(N2:N4))-N13</f>
        <v>0</v>
      </c>
      <c r="O1" s="38">
        <f>SUM(E1:H1)</f>
        <v>0</v>
      </c>
      <c r="Q1" s="34">
        <f>1791-1583</f>
        <v>208</v>
      </c>
    </row>
    <row r="2" spans="2:17" ht="35.1" hidden="1" customHeight="1" x14ac:dyDescent="0.3">
      <c r="J2" s="187"/>
      <c r="K2" s="187"/>
      <c r="L2" s="187"/>
      <c r="M2" s="187"/>
      <c r="O2" s="38">
        <f>SUM(E2:H2)</f>
        <v>0</v>
      </c>
    </row>
    <row r="3" spans="2:17" ht="35.1" hidden="1" customHeight="1" x14ac:dyDescent="0.3">
      <c r="D3" s="39" t="s">
        <v>1</v>
      </c>
      <c r="J3" s="187"/>
      <c r="K3" s="187"/>
      <c r="L3" s="187"/>
      <c r="M3" s="187"/>
    </row>
    <row r="4" spans="2:17" ht="35.1" hidden="1" customHeight="1" thickBot="1" x14ac:dyDescent="0.35">
      <c r="D4" s="39" t="s">
        <v>2</v>
      </c>
      <c r="E4" s="36"/>
      <c r="F4" s="36"/>
      <c r="G4" s="36"/>
      <c r="H4" s="36"/>
      <c r="J4" s="187"/>
      <c r="K4" s="187"/>
      <c r="L4" s="187"/>
      <c r="M4" s="187"/>
    </row>
    <row r="5" spans="2:17" ht="35.1" customHeight="1" thickBot="1" x14ac:dyDescent="0.35">
      <c r="E5" s="36">
        <f t="shared" ref="E5:O5" si="2">E63</f>
        <v>-18</v>
      </c>
      <c r="F5" s="36">
        <f t="shared" si="2"/>
        <v>-136</v>
      </c>
      <c r="G5" s="36">
        <f t="shared" si="2"/>
        <v>-182</v>
      </c>
      <c r="H5" s="36">
        <f t="shared" si="2"/>
        <v>-108</v>
      </c>
      <c r="J5" s="187"/>
      <c r="K5" s="187"/>
      <c r="L5" s="187"/>
      <c r="M5" s="187"/>
      <c r="N5" s="37">
        <f t="shared" si="2"/>
        <v>5</v>
      </c>
      <c r="O5" s="38">
        <f t="shared" si="2"/>
        <v>-439</v>
      </c>
      <c r="P5" s="40"/>
    </row>
    <row r="6" spans="2:17" ht="35.1" hidden="1" customHeight="1" thickBot="1" x14ac:dyDescent="0.35">
      <c r="E6" s="36"/>
      <c r="F6" s="36"/>
      <c r="G6" s="36"/>
      <c r="H6" s="36"/>
      <c r="J6" s="187"/>
      <c r="K6" s="187"/>
      <c r="L6" s="187"/>
      <c r="M6" s="187"/>
    </row>
    <row r="7" spans="2:17" ht="35.1" hidden="1" customHeight="1" x14ac:dyDescent="0.3">
      <c r="E7" s="36"/>
      <c r="F7" s="36"/>
      <c r="G7" s="36"/>
      <c r="H7" s="36"/>
      <c r="J7" s="187"/>
      <c r="K7" s="187"/>
      <c r="L7" s="187"/>
      <c r="M7" s="187"/>
    </row>
    <row r="8" spans="2:17" ht="35.1" hidden="1" customHeight="1" x14ac:dyDescent="0.3">
      <c r="E8" s="36"/>
      <c r="F8" s="36"/>
      <c r="G8" s="36"/>
      <c r="H8" s="36"/>
      <c r="J8" s="187"/>
      <c r="K8" s="187"/>
      <c r="L8" s="187"/>
      <c r="M8" s="187"/>
    </row>
    <row r="9" spans="2:17" ht="35.1" hidden="1" customHeight="1" x14ac:dyDescent="0.3">
      <c r="E9" s="36" t="e">
        <f>#REF!</f>
        <v>#REF!</v>
      </c>
      <c r="F9" s="36" t="e">
        <f>#REF!</f>
        <v>#REF!</v>
      </c>
      <c r="G9" s="36" t="e">
        <f>#REF!</f>
        <v>#REF!</v>
      </c>
      <c r="H9" s="36" t="e">
        <f>#REF!</f>
        <v>#REF!</v>
      </c>
      <c r="J9" s="187"/>
      <c r="K9" s="187"/>
      <c r="L9" s="187"/>
      <c r="M9" s="187"/>
      <c r="O9" s="38" t="e">
        <f>#REF!</f>
        <v>#REF!</v>
      </c>
    </row>
    <row r="10" spans="2:17" ht="35.1" hidden="1" customHeight="1" x14ac:dyDescent="0.3">
      <c r="E10" s="36" t="e">
        <f>SUM(#REF!)</f>
        <v>#REF!</v>
      </c>
      <c r="F10" s="36" t="e">
        <f>SUM(#REF!)</f>
        <v>#REF!</v>
      </c>
      <c r="G10" s="36" t="e">
        <f>SUM(#REF!)</f>
        <v>#REF!</v>
      </c>
      <c r="H10" s="36" t="e">
        <f>SUM(#REF!)</f>
        <v>#REF!</v>
      </c>
      <c r="J10" s="187"/>
      <c r="K10" s="187"/>
      <c r="L10" s="187"/>
      <c r="M10" s="187"/>
      <c r="O10" s="38" t="e">
        <f>SUM(#REF!)</f>
        <v>#REF!</v>
      </c>
    </row>
    <row r="11" spans="2:17" ht="35.1" hidden="1" customHeight="1" x14ac:dyDescent="0.3">
      <c r="D11" s="41" t="s">
        <v>3</v>
      </c>
      <c r="E11" s="42" t="e">
        <f>E9-SUM(E36:E38)</f>
        <v>#REF!</v>
      </c>
      <c r="F11" s="42" t="e">
        <f>F9-SUM(F36:F38)</f>
        <v>#REF!</v>
      </c>
      <c r="G11" s="42" t="e">
        <f>G9-SUM(G36:G38)</f>
        <v>#REF!</v>
      </c>
      <c r="H11" s="42" t="e">
        <f>H9-SUM(H36:H38)</f>
        <v>#REF!</v>
      </c>
      <c r="I11" s="43"/>
      <c r="J11" s="188"/>
      <c r="K11" s="188"/>
      <c r="L11" s="188"/>
      <c r="M11" s="188"/>
      <c r="N11" s="43"/>
      <c r="O11" s="44"/>
    </row>
    <row r="12" spans="2:17" ht="35.1" hidden="1" customHeight="1" x14ac:dyDescent="0.3">
      <c r="D12" s="41" t="s">
        <v>4</v>
      </c>
      <c r="E12" s="36" t="e">
        <f>E10-SUM(E33:E34)</f>
        <v>#REF!</v>
      </c>
      <c r="F12" s="36" t="e">
        <f>F10-SUM(F33:F34)</f>
        <v>#REF!</v>
      </c>
      <c r="G12" s="36" t="e">
        <f>G10-SUM(G33:G34)</f>
        <v>#REF!</v>
      </c>
      <c r="H12" s="36" t="e">
        <f>H10-SUM(H33:H34)</f>
        <v>#REF!</v>
      </c>
      <c r="J12" s="187"/>
      <c r="K12" s="187"/>
      <c r="L12" s="187"/>
      <c r="M12" s="187"/>
    </row>
    <row r="13" spans="2:17" s="36" customFormat="1" ht="35.1" hidden="1" customHeight="1" x14ac:dyDescent="0.3">
      <c r="B13" s="45"/>
      <c r="C13" s="45"/>
      <c r="D13" s="45"/>
      <c r="I13" s="37"/>
      <c r="J13" s="187"/>
      <c r="K13" s="187"/>
      <c r="L13" s="187"/>
      <c r="M13" s="187"/>
      <c r="N13" s="37"/>
      <c r="O13" s="38"/>
      <c r="P13" s="39"/>
    </row>
    <row r="14" spans="2:17" ht="35.1" customHeight="1" x14ac:dyDescent="0.3">
      <c r="B14" s="242">
        <v>46181</v>
      </c>
      <c r="C14" s="243"/>
      <c r="D14" s="243"/>
      <c r="E14" s="252"/>
      <c r="F14" s="253"/>
      <c r="G14" s="253"/>
      <c r="H14" s="254"/>
      <c r="I14" s="223"/>
      <c r="J14" s="232"/>
      <c r="K14" s="232"/>
      <c r="L14" s="232"/>
      <c r="M14" s="233"/>
      <c r="N14" s="219" t="s">
        <v>5</v>
      </c>
      <c r="O14" s="229" t="s">
        <v>6</v>
      </c>
      <c r="P14" s="226" t="s">
        <v>7</v>
      </c>
    </row>
    <row r="15" spans="2:17" ht="35.1" customHeight="1" x14ac:dyDescent="0.3">
      <c r="B15" s="240"/>
      <c r="C15" s="241"/>
      <c r="D15" s="241"/>
      <c r="E15" s="250" t="s">
        <v>8</v>
      </c>
      <c r="F15" s="250"/>
      <c r="G15" s="250"/>
      <c r="H15" s="251"/>
      <c r="I15" s="224"/>
      <c r="J15" s="255"/>
      <c r="K15" s="255"/>
      <c r="L15" s="255"/>
      <c r="M15" s="256"/>
      <c r="N15" s="129"/>
      <c r="O15" s="230"/>
      <c r="P15" s="227"/>
    </row>
    <row r="16" spans="2:17" ht="35.1" customHeight="1" x14ac:dyDescent="0.3">
      <c r="B16" s="103" t="s">
        <v>9</v>
      </c>
      <c r="C16" s="94" t="s">
        <v>10</v>
      </c>
      <c r="D16" s="83" t="s">
        <v>11</v>
      </c>
      <c r="E16" s="95">
        <v>4</v>
      </c>
      <c r="F16" s="95">
        <v>5</v>
      </c>
      <c r="G16" s="95">
        <v>6</v>
      </c>
      <c r="H16" s="120">
        <v>7</v>
      </c>
      <c r="I16" s="128"/>
      <c r="J16" s="189">
        <v>14</v>
      </c>
      <c r="K16" s="189">
        <v>16</v>
      </c>
      <c r="L16" s="189"/>
      <c r="M16" s="189"/>
      <c r="N16" s="130" t="s">
        <v>12</v>
      </c>
      <c r="O16" s="231"/>
      <c r="P16" s="228"/>
    </row>
    <row r="17" spans="1:65" ht="35.1" customHeight="1" x14ac:dyDescent="0.3">
      <c r="A17" s="34">
        <v>1</v>
      </c>
      <c r="B17" s="104"/>
      <c r="C17" s="96"/>
      <c r="D17" s="207"/>
      <c r="E17" s="97"/>
      <c r="F17" s="101"/>
      <c r="G17" s="101"/>
      <c r="H17" s="121"/>
      <c r="I17" s="116"/>
      <c r="J17" s="98"/>
      <c r="K17" s="180"/>
      <c r="L17" s="190"/>
      <c r="M17" s="190"/>
      <c r="N17" s="126">
        <v>5</v>
      </c>
      <c r="O17" s="205">
        <f>SUM(E17:N17)</f>
        <v>5</v>
      </c>
      <c r="P17" s="105"/>
      <c r="X17" s="46"/>
      <c r="Z17" s="34" t="s">
        <v>13</v>
      </c>
    </row>
    <row r="18" spans="1:65" ht="35.1" customHeight="1" x14ac:dyDescent="0.3">
      <c r="A18" s="34">
        <v>8</v>
      </c>
      <c r="B18" s="104"/>
      <c r="C18" s="96"/>
      <c r="D18" s="112" t="s">
        <v>14</v>
      </c>
      <c r="E18" s="160"/>
      <c r="F18" s="171"/>
      <c r="G18" s="171"/>
      <c r="H18" s="172"/>
      <c r="I18" s="116"/>
      <c r="J18" s="98"/>
      <c r="K18" s="180"/>
      <c r="L18" s="190"/>
      <c r="M18" s="190"/>
      <c r="N18" s="97"/>
      <c r="O18" s="154">
        <f>SUM(E18:N18)</f>
        <v>0</v>
      </c>
      <c r="P18" s="105"/>
    </row>
    <row r="19" spans="1:65" ht="35.1" customHeight="1" x14ac:dyDescent="0.3">
      <c r="A19" s="34">
        <v>9</v>
      </c>
      <c r="B19" s="104"/>
      <c r="C19" s="96"/>
      <c r="D19" s="99"/>
      <c r="E19" s="101"/>
      <c r="F19" s="101"/>
      <c r="G19" s="101"/>
      <c r="H19" s="121"/>
      <c r="I19" s="117"/>
      <c r="J19" s="159"/>
      <c r="K19" s="179"/>
      <c r="L19" s="191"/>
      <c r="M19" s="191"/>
      <c r="N19" s="97"/>
      <c r="O19" s="154">
        <f>SUM(E19:N19)</f>
        <v>0</v>
      </c>
      <c r="P19" s="105"/>
    </row>
    <row r="20" spans="1:65" ht="35.1" customHeight="1" x14ac:dyDescent="0.3">
      <c r="A20" s="34">
        <v>10</v>
      </c>
      <c r="B20" s="104"/>
      <c r="C20" s="96"/>
      <c r="D20" s="99"/>
      <c r="E20" s="97"/>
      <c r="F20" s="101"/>
      <c r="G20" s="101"/>
      <c r="H20" s="121"/>
      <c r="I20" s="116"/>
      <c r="J20" s="98"/>
      <c r="K20" s="180"/>
      <c r="L20" s="190"/>
      <c r="M20" s="190"/>
      <c r="N20" s="97"/>
      <c r="O20" s="154">
        <f>SUM(E20:N20)</f>
        <v>0</v>
      </c>
      <c r="P20" s="105"/>
    </row>
    <row r="21" spans="1:65" ht="34.5" customHeight="1" thickBot="1" x14ac:dyDescent="0.35">
      <c r="A21" s="34">
        <v>11</v>
      </c>
      <c r="B21" s="104"/>
      <c r="C21" s="170"/>
      <c r="D21" s="112"/>
      <c r="E21" s="113"/>
      <c r="F21" s="114"/>
      <c r="G21" s="114"/>
      <c r="H21" s="122"/>
      <c r="I21" s="166"/>
      <c r="J21" s="192"/>
      <c r="K21" s="193"/>
      <c r="L21" s="194"/>
      <c r="M21" s="194"/>
      <c r="N21" s="97"/>
      <c r="O21" s="154">
        <f>SUM(E21:N21)</f>
        <v>0</v>
      </c>
      <c r="P21" s="105"/>
    </row>
    <row r="22" spans="1:65" ht="35.1" customHeight="1" thickBot="1" x14ac:dyDescent="0.35">
      <c r="A22" s="34">
        <v>12</v>
      </c>
      <c r="B22" s="104"/>
      <c r="C22" s="170"/>
      <c r="D22" s="112"/>
      <c r="E22" s="113"/>
      <c r="F22" s="114"/>
      <c r="G22" s="114"/>
      <c r="H22" s="122"/>
      <c r="I22" s="166"/>
      <c r="J22" s="192"/>
      <c r="K22" s="193"/>
      <c r="L22" s="194"/>
      <c r="M22" s="194"/>
      <c r="N22" s="97"/>
      <c r="O22" s="154">
        <f>SUM(E22:N22)</f>
        <v>0</v>
      </c>
      <c r="P22" s="105"/>
    </row>
    <row r="23" spans="1:65" ht="35.1" customHeight="1" x14ac:dyDescent="0.3">
      <c r="A23" s="34">
        <v>13</v>
      </c>
      <c r="B23" s="104"/>
      <c r="C23" s="96"/>
      <c r="D23" s="99"/>
      <c r="E23" s="101"/>
      <c r="F23" s="101"/>
      <c r="G23" s="101"/>
      <c r="H23" s="121"/>
      <c r="I23" s="117"/>
      <c r="J23" s="159"/>
      <c r="K23" s="179"/>
      <c r="L23" s="191"/>
      <c r="M23" s="191"/>
      <c r="N23" s="97"/>
      <c r="O23" s="154">
        <f>SUM(E23:N23)</f>
        <v>0</v>
      </c>
      <c r="P23" s="105"/>
    </row>
    <row r="24" spans="1:65" ht="35.1" customHeight="1" x14ac:dyDescent="0.3">
      <c r="A24" s="34">
        <v>14</v>
      </c>
      <c r="B24" s="104"/>
      <c r="C24" s="96"/>
      <c r="D24" s="99"/>
      <c r="E24" s="97"/>
      <c r="F24" s="101"/>
      <c r="G24" s="101"/>
      <c r="H24" s="121"/>
      <c r="I24" s="116"/>
      <c r="J24" s="98"/>
      <c r="K24" s="180"/>
      <c r="L24" s="190"/>
      <c r="M24" s="190"/>
      <c r="N24" s="97"/>
      <c r="O24" s="154">
        <f>SUM(E24:N24)</f>
        <v>0</v>
      </c>
      <c r="P24" s="105"/>
    </row>
    <row r="25" spans="1:65" ht="35.1" customHeight="1" thickBot="1" x14ac:dyDescent="0.35">
      <c r="B25" s="104"/>
      <c r="C25" s="96"/>
      <c r="D25" s="112"/>
      <c r="E25" s="113"/>
      <c r="F25" s="114"/>
      <c r="G25" s="114"/>
      <c r="H25" s="122"/>
      <c r="I25" s="166"/>
      <c r="J25" s="192"/>
      <c r="K25" s="193"/>
      <c r="L25" s="194"/>
      <c r="M25" s="194"/>
      <c r="N25" s="97"/>
      <c r="O25" s="154">
        <f>SUM(E25:N25)</f>
        <v>0</v>
      </c>
      <c r="P25" s="105"/>
    </row>
    <row r="26" spans="1:65" ht="35.1" customHeight="1" thickBot="1" x14ac:dyDescent="0.35">
      <c r="B26" s="217"/>
      <c r="C26" s="96"/>
      <c r="D26" s="112"/>
      <c r="E26" s="113"/>
      <c r="F26" s="114"/>
      <c r="G26" s="114"/>
      <c r="H26" s="122"/>
      <c r="I26" s="166"/>
      <c r="J26" s="192"/>
      <c r="K26" s="193"/>
      <c r="L26" s="194"/>
      <c r="M26" s="194"/>
      <c r="N26" s="113"/>
      <c r="O26" s="154">
        <f>SUM(E26:N26)</f>
        <v>0</v>
      </c>
      <c r="P26" s="105"/>
    </row>
    <row r="27" spans="1:65" ht="35.1" customHeight="1" thickBot="1" x14ac:dyDescent="0.35">
      <c r="B27" s="217"/>
      <c r="C27" s="96"/>
      <c r="D27" s="112"/>
      <c r="E27" s="113"/>
      <c r="F27" s="114"/>
      <c r="G27" s="114"/>
      <c r="H27" s="122"/>
      <c r="I27" s="166"/>
      <c r="J27" s="192"/>
      <c r="K27" s="193"/>
      <c r="L27" s="194"/>
      <c r="M27" s="194"/>
      <c r="N27" s="113"/>
      <c r="O27" s="154">
        <f>SUM(E27:N27)</f>
        <v>0</v>
      </c>
      <c r="P27" s="105"/>
    </row>
    <row r="28" spans="1:65" ht="35.1" customHeight="1" thickBot="1" x14ac:dyDescent="0.35">
      <c r="B28" s="217"/>
      <c r="C28" s="96"/>
      <c r="D28" s="112"/>
      <c r="E28" s="113"/>
      <c r="F28" s="114"/>
      <c r="G28" s="114"/>
      <c r="H28" s="122"/>
      <c r="I28" s="166"/>
      <c r="J28" s="192"/>
      <c r="K28" s="193"/>
      <c r="L28" s="194"/>
      <c r="M28" s="194"/>
      <c r="N28" s="113"/>
      <c r="O28" s="154">
        <f>SUM(E28:N28)</f>
        <v>0</v>
      </c>
      <c r="P28" s="105"/>
    </row>
    <row r="29" spans="1:65" ht="35.1" customHeight="1" thickBot="1" x14ac:dyDescent="0.35">
      <c r="A29" s="34">
        <v>15</v>
      </c>
      <c r="B29" s="217"/>
      <c r="C29" s="170"/>
      <c r="D29" s="112"/>
      <c r="E29" s="113"/>
      <c r="F29" s="114"/>
      <c r="G29" s="114"/>
      <c r="H29" s="122"/>
      <c r="I29" s="166"/>
      <c r="J29" s="192"/>
      <c r="K29" s="193"/>
      <c r="L29" s="194"/>
      <c r="M29" s="194"/>
      <c r="N29" s="113"/>
      <c r="O29" s="154">
        <f>SUM(E29:N29)</f>
        <v>0</v>
      </c>
      <c r="P29" s="105"/>
    </row>
    <row r="30" spans="1:65" ht="35.1" customHeight="1" thickBot="1" x14ac:dyDescent="0.35">
      <c r="B30" s="244"/>
      <c r="C30" s="245"/>
      <c r="D30" s="245"/>
      <c r="E30" s="106">
        <f t="shared" ref="E30:N30" si="3">SUM(E17:E29)</f>
        <v>0</v>
      </c>
      <c r="F30" s="106">
        <f t="shared" si="3"/>
        <v>0</v>
      </c>
      <c r="G30" s="106">
        <f t="shared" si="3"/>
        <v>0</v>
      </c>
      <c r="H30" s="123">
        <f>SUM(H17:H29)</f>
        <v>0</v>
      </c>
      <c r="I30" s="168">
        <f t="shared" ref="I30" si="4">SUM(I17:I29)</f>
        <v>0</v>
      </c>
      <c r="J30" s="167">
        <f>SUM(J17:J29)</f>
        <v>0</v>
      </c>
      <c r="K30" s="173">
        <f>SUM(K17:K29)</f>
        <v>0</v>
      </c>
      <c r="L30" s="173">
        <f>SUM(L17:L29)</f>
        <v>0</v>
      </c>
      <c r="M30" s="173">
        <f>SUM(M17:M29)</f>
        <v>0</v>
      </c>
      <c r="N30" s="107">
        <f t="shared" si="3"/>
        <v>5</v>
      </c>
      <c r="O30" s="155">
        <f>SUM(E30:N30)</f>
        <v>5</v>
      </c>
      <c r="P30" s="109"/>
      <c r="Q30" s="36"/>
    </row>
    <row r="31" spans="1:65" ht="35.1" customHeight="1" thickBot="1" x14ac:dyDescent="0.35">
      <c r="B31" s="246"/>
      <c r="C31" s="247"/>
      <c r="D31" s="247"/>
      <c r="E31" s="87">
        <f t="shared" ref="E31:H31" si="5">SUM(E33:E54)</f>
        <v>0</v>
      </c>
      <c r="F31" s="87">
        <f t="shared" si="5"/>
        <v>0</v>
      </c>
      <c r="G31" s="87">
        <f t="shared" si="5"/>
        <v>0</v>
      </c>
      <c r="H31" s="124">
        <f t="shared" si="5"/>
        <v>0</v>
      </c>
      <c r="I31" s="118">
        <f t="shared" ref="I31" si="6">SUM(I33:I57)</f>
        <v>0</v>
      </c>
      <c r="J31" s="102">
        <f>SUM(J33:J57)</f>
        <v>0</v>
      </c>
      <c r="K31" s="118">
        <f>SUM(K33:K57)</f>
        <v>0</v>
      </c>
      <c r="L31" s="118">
        <f>SUM(L33:L57)</f>
        <v>0</v>
      </c>
      <c r="M31" s="118">
        <f>SUM(M33:M57)</f>
        <v>0</v>
      </c>
      <c r="N31" s="102">
        <v>0</v>
      </c>
      <c r="O31" s="203">
        <f>SUM(E31:N31)</f>
        <v>0</v>
      </c>
      <c r="P31" s="158"/>
      <c r="Q31" s="157" t="s">
        <v>15</v>
      </c>
      <c r="R31" s="157" t="s">
        <v>16</v>
      </c>
      <c r="S31" s="225" t="s">
        <v>17</v>
      </c>
      <c r="T31" s="225"/>
      <c r="U31" s="156" t="s">
        <v>18</v>
      </c>
      <c r="V31" s="156" t="s">
        <v>18</v>
      </c>
      <c r="W31" s="36" t="s">
        <v>19</v>
      </c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  <c r="AX31" s="36"/>
      <c r="AY31" s="36"/>
      <c r="AZ31" s="36"/>
      <c r="BA31" s="36"/>
      <c r="BB31" s="36"/>
      <c r="BC31" s="36"/>
      <c r="BD31" s="36"/>
      <c r="BE31" s="36"/>
      <c r="BF31" s="36"/>
      <c r="BG31" s="36"/>
      <c r="BH31" s="36"/>
      <c r="BI31" s="36"/>
      <c r="BJ31" s="36"/>
      <c r="BK31" s="36"/>
      <c r="BL31" s="36"/>
      <c r="BM31" s="36"/>
    </row>
    <row r="32" spans="1:65" ht="35.1" customHeight="1" thickBot="1" x14ac:dyDescent="0.35">
      <c r="B32" s="248"/>
      <c r="C32" s="249"/>
      <c r="D32" s="249"/>
      <c r="E32" s="88">
        <f t="shared" ref="E32:N32" si="7">E30-E31</f>
        <v>0</v>
      </c>
      <c r="F32" s="88">
        <f t="shared" si="7"/>
        <v>0</v>
      </c>
      <c r="G32" s="88">
        <f t="shared" si="7"/>
        <v>0</v>
      </c>
      <c r="H32" s="131">
        <f t="shared" si="7"/>
        <v>0</v>
      </c>
      <c r="I32" s="132">
        <f t="shared" ref="I32" si="8">I30-I31</f>
        <v>0</v>
      </c>
      <c r="J32" s="195">
        <f>J30-J31</f>
        <v>0</v>
      </c>
      <c r="K32" s="161">
        <f>K30-K31</f>
        <v>0</v>
      </c>
      <c r="L32" s="161">
        <f>L30-L31</f>
        <v>0</v>
      </c>
      <c r="M32" s="161">
        <f>M30-M31</f>
        <v>0</v>
      </c>
      <c r="N32" s="89">
        <f t="shared" si="7"/>
        <v>5</v>
      </c>
      <c r="O32" s="204">
        <f>SUM(E32:N32)</f>
        <v>5</v>
      </c>
      <c r="P32" s="109"/>
      <c r="Q32" s="90" t="s">
        <v>20</v>
      </c>
      <c r="R32" s="47" t="s">
        <v>21</v>
      </c>
      <c r="S32" s="48" t="s">
        <v>20</v>
      </c>
      <c r="T32" s="47" t="s">
        <v>21</v>
      </c>
      <c r="U32" s="78" t="s">
        <v>20</v>
      </c>
      <c r="V32" s="78" t="s">
        <v>20</v>
      </c>
      <c r="W32" s="47" t="s">
        <v>20</v>
      </c>
      <c r="X32" s="49" t="s">
        <v>22</v>
      </c>
      <c r="Y32" s="49" t="s">
        <v>23</v>
      </c>
      <c r="Z32" s="49" t="s">
        <v>24</v>
      </c>
    </row>
    <row r="33" spans="1:26" ht="35.1" customHeight="1" x14ac:dyDescent="0.3">
      <c r="A33" s="34">
        <v>1</v>
      </c>
      <c r="B33" s="220">
        <v>46174</v>
      </c>
      <c r="C33" s="133" t="s">
        <v>25</v>
      </c>
      <c r="D33" s="133" t="s">
        <v>26</v>
      </c>
      <c r="E33" s="134"/>
      <c r="F33" s="135"/>
      <c r="G33" s="133"/>
      <c r="H33" s="136"/>
      <c r="I33" s="137"/>
      <c r="J33" s="196"/>
      <c r="K33" s="197"/>
      <c r="L33" s="198"/>
      <c r="M33" s="198"/>
      <c r="N33" s="134"/>
      <c r="O33" s="222">
        <f>SUM(E33:N33)</f>
        <v>0</v>
      </c>
      <c r="P33" s="110"/>
      <c r="Q33" s="91">
        <f>SUM(E33:H33)</f>
        <v>0</v>
      </c>
      <c r="R33" s="50" t="e">
        <f>SUM(#REF!)</f>
        <v>#REF!</v>
      </c>
      <c r="S33" s="51" t="e">
        <f>SUM(#REF!)</f>
        <v>#REF!</v>
      </c>
      <c r="T33" s="52" t="e">
        <f>SUM(#REF!)</f>
        <v>#REF!</v>
      </c>
      <c r="U33" s="53" t="e">
        <f>SUM(#REF!)</f>
        <v>#REF!</v>
      </c>
      <c r="V33" s="53" t="e">
        <f>SUM(#REF!)</f>
        <v>#REF!</v>
      </c>
      <c r="W33" s="52">
        <f t="shared" ref="W33" si="9">SUM(N33:N33)</f>
        <v>0</v>
      </c>
      <c r="X33" s="54" t="str">
        <f>IFERROR(VLOOKUP(C33&amp;D33,가락!$B$2:$E$498,2,FALSE),"")</f>
        <v/>
      </c>
      <c r="Y33" s="54" t="str">
        <f>IFERROR(VLOOKUP(C33&amp;D33,가락!B1:$E$498,3,FALSE),"")</f>
        <v/>
      </c>
      <c r="Z33" s="54" t="str">
        <f>IFERROR(VLOOKUP(C33&amp;D33,가락!B1:$E$498,4,FALSE),"")</f>
        <v/>
      </c>
    </row>
    <row r="34" spans="1:26" ht="35.1" customHeight="1" x14ac:dyDescent="0.3">
      <c r="B34" s="220">
        <v>46181</v>
      </c>
      <c r="C34" s="186" t="s">
        <v>27</v>
      </c>
      <c r="D34" s="216" t="s">
        <v>28</v>
      </c>
      <c r="E34" s="209"/>
      <c r="F34" s="209"/>
      <c r="G34" s="209"/>
      <c r="H34" s="210"/>
      <c r="I34" s="119"/>
      <c r="J34" s="86"/>
      <c r="K34" s="127"/>
      <c r="L34" s="108"/>
      <c r="M34" s="108"/>
      <c r="N34" s="82"/>
      <c r="O34" s="222">
        <f>SUM(E34:N34)</f>
        <v>0</v>
      </c>
      <c r="P34" s="111"/>
      <c r="Q34" s="91"/>
      <c r="R34" s="50"/>
      <c r="S34" s="51"/>
      <c r="T34" s="52"/>
      <c r="U34" s="53"/>
      <c r="V34" s="53"/>
      <c r="W34" s="52"/>
      <c r="X34" s="55"/>
      <c r="Y34" s="54"/>
      <c r="Z34" s="54"/>
    </row>
    <row r="35" spans="1:26" ht="35.1" customHeight="1" x14ac:dyDescent="0.3">
      <c r="B35" s="220">
        <v>46181</v>
      </c>
      <c r="C35" s="211" t="s">
        <v>29</v>
      </c>
      <c r="D35" s="213" t="s">
        <v>30</v>
      </c>
      <c r="E35" s="209"/>
      <c r="F35" s="209"/>
      <c r="G35" s="209"/>
      <c r="H35" s="210"/>
      <c r="I35" s="119"/>
      <c r="J35" s="86"/>
      <c r="K35" s="127"/>
      <c r="L35" s="108"/>
      <c r="M35" s="108"/>
      <c r="N35" s="82"/>
      <c r="O35" s="222">
        <f>SUM(E35:N35)</f>
        <v>0</v>
      </c>
      <c r="P35" s="111"/>
      <c r="Q35" s="91"/>
      <c r="R35" s="50"/>
      <c r="S35" s="51"/>
      <c r="T35" s="52"/>
      <c r="U35" s="53"/>
      <c r="V35" s="53"/>
      <c r="W35" s="52"/>
      <c r="X35" s="55"/>
      <c r="Y35" s="54"/>
      <c r="Z35" s="54"/>
    </row>
    <row r="36" spans="1:26" ht="35.1" customHeight="1" x14ac:dyDescent="0.3">
      <c r="A36" s="34">
        <v>10</v>
      </c>
      <c r="B36" s="220">
        <v>46181</v>
      </c>
      <c r="C36" s="206" t="s">
        <v>31</v>
      </c>
      <c r="D36" s="212" t="s">
        <v>32</v>
      </c>
      <c r="E36" s="82"/>
      <c r="F36" s="82"/>
      <c r="G36" s="82"/>
      <c r="H36" s="125"/>
      <c r="I36" s="119"/>
      <c r="J36" s="86"/>
      <c r="K36" s="127"/>
      <c r="L36" s="108"/>
      <c r="M36" s="108"/>
      <c r="N36" s="82"/>
      <c r="O36" s="222">
        <f>SUM(E36:N36)</f>
        <v>0</v>
      </c>
      <c r="P36" s="111"/>
      <c r="Q36" s="91">
        <f>SUM(E36:H36)</f>
        <v>0</v>
      </c>
      <c r="R36" s="50" t="e">
        <f>SUM(#REF!)</f>
        <v>#REF!</v>
      </c>
      <c r="S36" s="51" t="e">
        <f>SUM(#REF!)</f>
        <v>#REF!</v>
      </c>
      <c r="T36" s="52" t="e">
        <f>SUM(#REF!)</f>
        <v>#REF!</v>
      </c>
      <c r="U36" s="53" t="e">
        <f>SUM(#REF!)</f>
        <v>#REF!</v>
      </c>
      <c r="V36" s="53" t="e">
        <f>SUM(#REF!)</f>
        <v>#REF!</v>
      </c>
      <c r="W36" s="52">
        <f>SUM(N36:N36)</f>
        <v>0</v>
      </c>
      <c r="X36" s="54" t="str">
        <f>IFERROR(VLOOKUP(#REF!&amp;#REF!,가락!$B$2:$E$498,2,FALSE),"")</f>
        <v/>
      </c>
      <c r="Y36" s="54" t="str">
        <f>IFERROR(VLOOKUP(#REF!&amp;#REF!,가락!B13:$E$498,3,FALSE),"")</f>
        <v/>
      </c>
      <c r="Z36" s="54" t="str">
        <f>IFERROR(VLOOKUP(#REF!&amp;#REF!,가락!B13:$E$498,4,FALSE),"")</f>
        <v/>
      </c>
    </row>
    <row r="37" spans="1:26" ht="35.1" customHeight="1" x14ac:dyDescent="0.3">
      <c r="A37" s="34">
        <v>11</v>
      </c>
      <c r="B37" s="220">
        <v>46181</v>
      </c>
      <c r="C37" s="206" t="s">
        <v>33</v>
      </c>
      <c r="D37" s="178" t="s">
        <v>34</v>
      </c>
      <c r="E37" s="82"/>
      <c r="F37" s="82"/>
      <c r="G37" s="82"/>
      <c r="H37" s="125"/>
      <c r="I37" s="119"/>
      <c r="J37" s="86"/>
      <c r="K37" s="127"/>
      <c r="L37" s="108"/>
      <c r="M37" s="108"/>
      <c r="N37" s="82"/>
      <c r="O37" s="222">
        <f>SUM(E37:N37)</f>
        <v>0</v>
      </c>
      <c r="P37" s="218"/>
      <c r="Q37" s="91">
        <f>SUM(E37:H37)</f>
        <v>0</v>
      </c>
      <c r="R37" s="50" t="e">
        <f>SUM(#REF!)</f>
        <v>#REF!</v>
      </c>
      <c r="S37" s="51" t="e">
        <f>SUM(#REF!)</f>
        <v>#REF!</v>
      </c>
      <c r="T37" s="52" t="e">
        <f>SUM(#REF!)</f>
        <v>#REF!</v>
      </c>
      <c r="U37" s="53" t="e">
        <f>SUM(#REF!)</f>
        <v>#REF!</v>
      </c>
      <c r="V37" s="53" t="e">
        <f>SUM(#REF!)</f>
        <v>#REF!</v>
      </c>
      <c r="W37" s="52">
        <f>SUM(N37:N37)</f>
        <v>0</v>
      </c>
      <c r="X37" s="54"/>
      <c r="Y37" s="54" t="str">
        <f>IFERROR(VLOOKUP(D39&amp;#REF!,가락!B15:$E$498,3,FALSE),"")</f>
        <v/>
      </c>
      <c r="Z37" s="54" t="str">
        <f>IFERROR(VLOOKUP(D39&amp;#REF!,가락!B15:$E$498,4,FALSE),"")</f>
        <v/>
      </c>
    </row>
    <row r="38" spans="1:26" ht="35.1" customHeight="1" x14ac:dyDescent="0.3">
      <c r="A38" s="34">
        <v>12</v>
      </c>
      <c r="B38" s="220">
        <v>46181</v>
      </c>
      <c r="C38" s="186" t="s">
        <v>35</v>
      </c>
      <c r="D38" s="175" t="s">
        <v>36</v>
      </c>
      <c r="E38" s="82"/>
      <c r="F38" s="82"/>
      <c r="G38" s="82"/>
      <c r="H38" s="125"/>
      <c r="I38" s="119"/>
      <c r="J38" s="86"/>
      <c r="K38" s="127"/>
      <c r="L38" s="108"/>
      <c r="M38" s="108"/>
      <c r="N38" s="82"/>
      <c r="O38" s="222">
        <f>SUM(E38:N38)</f>
        <v>0</v>
      </c>
      <c r="P38" s="111"/>
      <c r="Q38" s="91">
        <f>SUM(E38:H38)</f>
        <v>0</v>
      </c>
      <c r="R38" s="50" t="e">
        <f>SUM(#REF!)</f>
        <v>#REF!</v>
      </c>
      <c r="S38" s="51" t="e">
        <f>SUM(#REF!)</f>
        <v>#REF!</v>
      </c>
      <c r="T38" s="52" t="e">
        <f>SUM(#REF!)</f>
        <v>#REF!</v>
      </c>
      <c r="U38" s="53" t="e">
        <f>SUM(#REF!)</f>
        <v>#REF!</v>
      </c>
      <c r="V38" s="53" t="e">
        <f>SUM(#REF!)</f>
        <v>#REF!</v>
      </c>
      <c r="W38" s="52">
        <f>SUM(N38:N38)</f>
        <v>0</v>
      </c>
      <c r="X38" s="54" t="str">
        <f>IFERROR(VLOOKUP(#REF!&amp;#REF!,가락!$B$2:$E$498,2,FALSE),"")</f>
        <v/>
      </c>
      <c r="Y38" s="54" t="str">
        <f>IFERROR(VLOOKUP(#REF!&amp;#REF!,가락!B16:$E$498,3,FALSE),"")</f>
        <v/>
      </c>
      <c r="Z38" s="54" t="str">
        <f>IFERROR(VLOOKUP(#REF!&amp;#REF!,가락!B16:$E$498,4,FALSE),"")</f>
        <v/>
      </c>
    </row>
    <row r="39" spans="1:26" ht="36" customHeight="1" x14ac:dyDescent="0.3">
      <c r="A39" s="34">
        <v>13</v>
      </c>
      <c r="B39" s="220">
        <v>46181</v>
      </c>
      <c r="C39" s="183" t="s">
        <v>37</v>
      </c>
      <c r="D39" s="85" t="s">
        <v>38</v>
      </c>
      <c r="E39" s="82"/>
      <c r="F39" s="82"/>
      <c r="G39" s="82"/>
      <c r="H39" s="125"/>
      <c r="I39" s="119"/>
      <c r="J39" s="86"/>
      <c r="K39" s="127"/>
      <c r="L39" s="108"/>
      <c r="M39" s="108"/>
      <c r="N39" s="82"/>
      <c r="O39" s="222">
        <f>SUM(E39:N39)</f>
        <v>0</v>
      </c>
      <c r="Q39" s="91">
        <f>SUM(E39:H39)</f>
        <v>0</v>
      </c>
      <c r="R39" s="50" t="e">
        <f>SUM(#REF!)</f>
        <v>#REF!</v>
      </c>
      <c r="S39" s="51" t="e">
        <f>SUM(#REF!)</f>
        <v>#REF!</v>
      </c>
      <c r="T39" s="52" t="e">
        <f>SUM(#REF!)</f>
        <v>#REF!</v>
      </c>
      <c r="U39" s="53" t="e">
        <f>SUM(#REF!)</f>
        <v>#REF!</v>
      </c>
      <c r="V39" s="53" t="e">
        <f>SUM(#REF!)</f>
        <v>#REF!</v>
      </c>
      <c r="W39" s="52">
        <f>SUM(N39:N39)</f>
        <v>0</v>
      </c>
      <c r="X39" s="54" t="str">
        <f>IFERROR(VLOOKUP(#REF!&amp;C39,가락!$B$2:$E$498,2,FALSE),"")</f>
        <v/>
      </c>
      <c r="Y39" s="54" t="str">
        <f>IFERROR(VLOOKUP(#REF!&amp;C39,가락!B18:$E$498,3,FALSE),"")</f>
        <v/>
      </c>
      <c r="Z39" s="54" t="str">
        <f>IFERROR(VLOOKUP(#REF!&amp;C39,가락!B18:$E$498,4,FALSE),"")</f>
        <v/>
      </c>
    </row>
    <row r="40" spans="1:26" ht="35.1" customHeight="1" x14ac:dyDescent="0.3">
      <c r="B40" s="220"/>
      <c r="C40" s="183"/>
      <c r="D40" s="215"/>
      <c r="E40" s="82"/>
      <c r="F40" s="82"/>
      <c r="G40" s="82"/>
      <c r="H40" s="125"/>
      <c r="I40" s="119"/>
      <c r="J40" s="86"/>
      <c r="K40" s="127"/>
      <c r="L40" s="108"/>
      <c r="M40" s="108"/>
      <c r="N40" s="82"/>
      <c r="O40" s="222">
        <f>SUM(E40:N40)</f>
        <v>0</v>
      </c>
      <c r="P40" s="110"/>
      <c r="Q40" s="91"/>
      <c r="R40" s="50"/>
      <c r="S40" s="51"/>
      <c r="T40" s="52"/>
      <c r="U40" s="53"/>
      <c r="V40" s="53"/>
      <c r="W40" s="52"/>
      <c r="X40" s="54"/>
      <c r="Y40" s="54"/>
      <c r="Z40" s="54"/>
    </row>
    <row r="41" spans="1:26" ht="35.1" customHeight="1" x14ac:dyDescent="0.3">
      <c r="B41" s="208"/>
      <c r="C41" s="184"/>
      <c r="D41" s="221"/>
      <c r="E41" s="82"/>
      <c r="F41" s="82"/>
      <c r="G41" s="82"/>
      <c r="H41" s="125"/>
      <c r="I41" s="119"/>
      <c r="J41" s="86"/>
      <c r="K41" s="127"/>
      <c r="L41" s="108"/>
      <c r="M41" s="108"/>
      <c r="N41" s="82"/>
      <c r="O41" s="222">
        <f>SUM(E41:N41)</f>
        <v>0</v>
      </c>
      <c r="P41" s="110"/>
      <c r="Q41" s="91"/>
      <c r="R41" s="50"/>
      <c r="S41" s="51"/>
      <c r="T41" s="52"/>
      <c r="U41" s="53"/>
      <c r="V41" s="53"/>
      <c r="W41" s="52"/>
      <c r="X41" s="54"/>
      <c r="Y41" s="54"/>
      <c r="Z41" s="54"/>
    </row>
    <row r="42" spans="1:26" ht="35.1" customHeight="1" x14ac:dyDescent="0.3">
      <c r="B42" s="185"/>
      <c r="C42" s="184"/>
      <c r="D42" s="85"/>
      <c r="E42" s="82"/>
      <c r="F42" s="82"/>
      <c r="G42" s="82"/>
      <c r="H42" s="125"/>
      <c r="I42" s="119"/>
      <c r="J42" s="86"/>
      <c r="K42" s="127"/>
      <c r="L42" s="108"/>
      <c r="M42" s="108"/>
      <c r="N42" s="82"/>
      <c r="O42" s="222">
        <f>SUM(E42:N42)</f>
        <v>0</v>
      </c>
      <c r="P42" s="111"/>
      <c r="Q42" s="91"/>
      <c r="R42" s="50"/>
      <c r="S42" s="51"/>
      <c r="T42" s="52"/>
      <c r="U42" s="53"/>
      <c r="V42" s="53"/>
      <c r="W42" s="52"/>
      <c r="X42" s="54"/>
      <c r="Y42" s="54"/>
      <c r="Z42" s="54"/>
    </row>
    <row r="43" spans="1:26" ht="35.1" customHeight="1" x14ac:dyDescent="0.3">
      <c r="A43" s="34">
        <v>18</v>
      </c>
      <c r="B43" s="185"/>
      <c r="C43" s="184"/>
      <c r="D43" s="85"/>
      <c r="E43" s="82"/>
      <c r="F43" s="82"/>
      <c r="G43" s="82"/>
      <c r="H43" s="125"/>
      <c r="I43" s="119"/>
      <c r="J43" s="86"/>
      <c r="K43" s="127"/>
      <c r="L43" s="108"/>
      <c r="M43" s="108"/>
      <c r="N43" s="82"/>
      <c r="O43" s="205">
        <f>SUM(E43:N43)</f>
        <v>0</v>
      </c>
      <c r="P43" s="110"/>
      <c r="Q43" s="91">
        <f>SUM(E43:H43)</f>
        <v>0</v>
      </c>
      <c r="R43" s="50" t="e">
        <f>SUM(#REF!)</f>
        <v>#REF!</v>
      </c>
      <c r="S43" s="51" t="e">
        <f>SUM(#REF!)</f>
        <v>#REF!</v>
      </c>
      <c r="T43" s="52" t="e">
        <f>SUM(#REF!)</f>
        <v>#REF!</v>
      </c>
      <c r="U43" s="53" t="e">
        <f>SUM(#REF!)</f>
        <v>#REF!</v>
      </c>
      <c r="V43" s="53" t="e">
        <f>SUM(#REF!)</f>
        <v>#REF!</v>
      </c>
      <c r="W43" s="52">
        <f>SUM(N43:N43)</f>
        <v>0</v>
      </c>
      <c r="X43" s="54" t="str">
        <f>IFERROR(VLOOKUP(C48&amp;D43,가락!$B$2:$E$498,2,FALSE),"")</f>
        <v/>
      </c>
      <c r="Y43" s="54" t="str">
        <f>IFERROR(VLOOKUP(C48&amp;D43,가락!B24:$E$498,3,FALSE),"")</f>
        <v/>
      </c>
      <c r="Z43" s="54" t="str">
        <f>IFERROR(VLOOKUP(C48&amp;D43,가락!B24:$E$498,4,FALSE),"")</f>
        <v/>
      </c>
    </row>
    <row r="44" spans="1:26" ht="35.1" customHeight="1" x14ac:dyDescent="0.3">
      <c r="A44" s="34">
        <v>20</v>
      </c>
      <c r="B44" s="185"/>
      <c r="C44" s="184"/>
      <c r="D44" s="84"/>
      <c r="E44" s="82"/>
      <c r="F44" s="82"/>
      <c r="G44" s="82"/>
      <c r="H44" s="125"/>
      <c r="I44" s="119"/>
      <c r="J44" s="86"/>
      <c r="K44" s="127"/>
      <c r="L44" s="108"/>
      <c r="M44" s="108"/>
      <c r="N44" s="82"/>
      <c r="O44" s="205">
        <f>SUM(E44:N44)</f>
        <v>0</v>
      </c>
      <c r="P44" s="110"/>
      <c r="Q44" s="91">
        <f>SUM(E44:H44)</f>
        <v>0</v>
      </c>
      <c r="R44" s="50" t="e">
        <f>SUM(#REF!)</f>
        <v>#REF!</v>
      </c>
      <c r="S44" s="51" t="e">
        <f>SUM(#REF!)</f>
        <v>#REF!</v>
      </c>
      <c r="T44" s="52" t="e">
        <f>SUM(#REF!)</f>
        <v>#REF!</v>
      </c>
      <c r="U44" s="53" t="e">
        <f>SUM(#REF!)</f>
        <v>#REF!</v>
      </c>
      <c r="V44" s="53" t="e">
        <f>SUM(#REF!)</f>
        <v>#REF!</v>
      </c>
      <c r="W44" s="52">
        <f t="shared" ref="W44:W52" si="10">SUM(N44:N44)</f>
        <v>0</v>
      </c>
      <c r="X44" s="54" t="str">
        <f>IFERROR(VLOOKUP(C44&amp;D44,가락!$B$2:$E$498,2,FALSE),"")</f>
        <v/>
      </c>
      <c r="Y44" s="54" t="str">
        <f>IFERROR(VLOOKUP(C44&amp;D44,가락!B26:$E$498,3,FALSE),"")</f>
        <v/>
      </c>
      <c r="Z44" s="54" t="str">
        <f>IFERROR(VLOOKUP(C44&amp;D44,가락!B26:$E$498,4,FALSE),"")</f>
        <v/>
      </c>
    </row>
    <row r="45" spans="1:26" ht="35.1" customHeight="1" x14ac:dyDescent="0.3">
      <c r="A45" s="34">
        <v>21</v>
      </c>
      <c r="B45" s="169"/>
      <c r="C45" s="182"/>
      <c r="D45" s="85"/>
      <c r="E45" s="82"/>
      <c r="F45" s="82"/>
      <c r="G45" s="82"/>
      <c r="H45" s="125"/>
      <c r="I45" s="119"/>
      <c r="J45" s="86"/>
      <c r="K45" s="127"/>
      <c r="L45" s="108"/>
      <c r="M45" s="108"/>
      <c r="N45" s="82"/>
      <c r="O45" s="205">
        <f>SUM(E45:N45)</f>
        <v>0</v>
      </c>
      <c r="P45" s="110"/>
      <c r="Q45" s="91">
        <f>SUM(E45:H45)</f>
        <v>0</v>
      </c>
      <c r="R45" s="50" t="e">
        <f>SUM(#REF!)</f>
        <v>#REF!</v>
      </c>
      <c r="S45" s="51" t="e">
        <f>SUM(#REF!)</f>
        <v>#REF!</v>
      </c>
      <c r="T45" s="52" t="e">
        <f>SUM(#REF!)</f>
        <v>#REF!</v>
      </c>
      <c r="U45" s="53" t="e">
        <f>SUM(#REF!)</f>
        <v>#REF!</v>
      </c>
      <c r="V45" s="53" t="e">
        <f>SUM(#REF!)</f>
        <v>#REF!</v>
      </c>
      <c r="W45" s="52">
        <f t="shared" si="10"/>
        <v>0</v>
      </c>
      <c r="X45" s="54" t="str">
        <f>IFERROR(VLOOKUP(C45&amp;D47,가락!$B$2:$E$498,2,FALSE),"")</f>
        <v/>
      </c>
      <c r="Y45" s="54" t="str">
        <f>IFERROR(VLOOKUP(C45&amp;D47,가락!B27:$E$498,3,FALSE),"")</f>
        <v/>
      </c>
      <c r="Z45" s="54" t="str">
        <f>IFERROR(VLOOKUP(C45&amp;D47,가락!B27:$E$498,4,FALSE),"")</f>
        <v/>
      </c>
    </row>
    <row r="46" spans="1:26" ht="35.1" customHeight="1" x14ac:dyDescent="0.3">
      <c r="A46" s="34">
        <v>24</v>
      </c>
      <c r="B46" s="169"/>
      <c r="C46" s="182"/>
      <c r="D46" s="84"/>
      <c r="E46" s="82"/>
      <c r="F46" s="82"/>
      <c r="G46" s="82"/>
      <c r="H46" s="125"/>
      <c r="I46" s="119"/>
      <c r="J46" s="86"/>
      <c r="K46" s="127"/>
      <c r="L46" s="108"/>
      <c r="M46" s="108"/>
      <c r="N46" s="82"/>
      <c r="O46" s="205">
        <f>SUM(E46:N46)</f>
        <v>0</v>
      </c>
      <c r="P46" s="110"/>
      <c r="Q46" s="91">
        <f>SUM(E46:H46)</f>
        <v>0</v>
      </c>
      <c r="R46" s="50" t="e">
        <f>SUM(#REF!)</f>
        <v>#REF!</v>
      </c>
      <c r="S46" s="51" t="e">
        <f>SUM(#REF!)</f>
        <v>#REF!</v>
      </c>
      <c r="T46" s="52" t="e">
        <f>SUM(#REF!)</f>
        <v>#REF!</v>
      </c>
      <c r="U46" s="53" t="e">
        <f>SUM(#REF!)</f>
        <v>#REF!</v>
      </c>
      <c r="V46" s="53" t="e">
        <f>SUM(#REF!)</f>
        <v>#REF!</v>
      </c>
      <c r="W46" s="52">
        <f t="shared" si="10"/>
        <v>0</v>
      </c>
      <c r="X46" s="54" t="str">
        <f>IFERROR(VLOOKUP(C46&amp;#REF!,가락!$B$2:$E$498,2,FALSE),"")</f>
        <v/>
      </c>
      <c r="Y46" s="54" t="str">
        <f>IFERROR(VLOOKUP(C46&amp;#REF!,가락!B28:$E$498,3,FALSE),"")</f>
        <v/>
      </c>
      <c r="Z46" s="54" t="str">
        <f>IFERROR(VLOOKUP(C46&amp;#REF!,가락!B28:$E$498,4,FALSE),"")</f>
        <v/>
      </c>
    </row>
    <row r="47" spans="1:26" ht="35.1" customHeight="1" x14ac:dyDescent="0.3">
      <c r="A47" s="34">
        <v>25</v>
      </c>
      <c r="B47" s="169"/>
      <c r="C47" s="100"/>
      <c r="D47" s="178"/>
      <c r="E47" s="82"/>
      <c r="F47" s="82"/>
      <c r="G47" s="82"/>
      <c r="H47" s="125"/>
      <c r="I47" s="119"/>
      <c r="J47" s="86"/>
      <c r="K47" s="127"/>
      <c r="L47" s="108"/>
      <c r="M47" s="108"/>
      <c r="N47" s="82"/>
      <c r="O47" s="205">
        <f>SUM(E47:N47)</f>
        <v>0</v>
      </c>
      <c r="P47" s="214"/>
      <c r="Q47" s="91">
        <f>SUM(E47:H47)</f>
        <v>0</v>
      </c>
      <c r="R47" s="50" t="e">
        <f>SUM(#REF!)</f>
        <v>#REF!</v>
      </c>
      <c r="S47" s="51" t="e">
        <f>SUM(#REF!)</f>
        <v>#REF!</v>
      </c>
      <c r="T47" s="52" t="e">
        <f>SUM(#REF!)</f>
        <v>#REF!</v>
      </c>
      <c r="U47" s="53" t="e">
        <f>SUM(#REF!)</f>
        <v>#REF!</v>
      </c>
      <c r="V47" s="53" t="e">
        <f>SUM(#REF!)</f>
        <v>#REF!</v>
      </c>
      <c r="W47" s="52">
        <f t="shared" si="10"/>
        <v>0</v>
      </c>
      <c r="X47" s="54" t="str">
        <f>IFERROR(VLOOKUP(C47&amp;#REF!,가락!$B$2:$E$498,2,FALSE),"")</f>
        <v/>
      </c>
      <c r="Y47" s="54" t="str">
        <f>IFERROR(VLOOKUP(C47&amp;#REF!,가락!B29:$E$498,3,FALSE),"")</f>
        <v/>
      </c>
      <c r="Z47" s="54" t="str">
        <f>IFERROR(VLOOKUP(C47&amp;#REF!,가락!B29:$E$498,4,FALSE),"")</f>
        <v/>
      </c>
    </row>
    <row r="48" spans="1:26" ht="35.1" customHeight="1" x14ac:dyDescent="0.3">
      <c r="A48" s="34">
        <v>26</v>
      </c>
      <c r="B48" s="169"/>
      <c r="C48" s="84"/>
      <c r="D48" s="84"/>
      <c r="E48" s="82"/>
      <c r="F48" s="82"/>
      <c r="G48" s="82"/>
      <c r="H48" s="125"/>
      <c r="I48" s="119"/>
      <c r="J48" s="86"/>
      <c r="K48" s="127"/>
      <c r="L48" s="108"/>
      <c r="M48" s="108"/>
      <c r="N48" s="82"/>
      <c r="O48" s="205">
        <f>SUM(E48:N48)</f>
        <v>0</v>
      </c>
      <c r="P48" s="110"/>
      <c r="Q48" s="91">
        <f>SUM(E48:H48)</f>
        <v>0</v>
      </c>
      <c r="R48" s="50" t="e">
        <f>SUM(#REF!)</f>
        <v>#REF!</v>
      </c>
      <c r="S48" s="51" t="e">
        <f>SUM(#REF!)</f>
        <v>#REF!</v>
      </c>
      <c r="T48" s="52" t="e">
        <f>SUM(#REF!)</f>
        <v>#REF!</v>
      </c>
      <c r="U48" s="53" t="e">
        <f>SUM(#REF!)</f>
        <v>#REF!</v>
      </c>
      <c r="V48" s="53" t="e">
        <f>SUM(#REF!)</f>
        <v>#REF!</v>
      </c>
      <c r="W48" s="52">
        <f t="shared" si="10"/>
        <v>0</v>
      </c>
      <c r="X48" s="54" t="str">
        <f>IFERROR(VLOOKUP(#REF!&amp;D48,가락!$B$2:$E$498,2,FALSE),"")</f>
        <v/>
      </c>
      <c r="Y48" s="54" t="str">
        <f>IFERROR(VLOOKUP(#REF!&amp;D48,가락!B30:$E$498,3,FALSE),"")</f>
        <v/>
      </c>
      <c r="Z48" s="54" t="str">
        <f>IFERROR(VLOOKUP(#REF!&amp;D48,가락!B30:$E$498,4,FALSE),"")</f>
        <v/>
      </c>
    </row>
    <row r="49" spans="1:26" ht="35.1" customHeight="1" x14ac:dyDescent="0.3">
      <c r="A49" s="34">
        <v>27</v>
      </c>
      <c r="B49" s="169"/>
      <c r="C49" s="84"/>
      <c r="D49" s="84"/>
      <c r="E49" s="82"/>
      <c r="F49" s="82"/>
      <c r="G49" s="82"/>
      <c r="H49" s="125"/>
      <c r="I49" s="119"/>
      <c r="J49" s="86"/>
      <c r="K49" s="127"/>
      <c r="L49" s="108"/>
      <c r="M49" s="108"/>
      <c r="N49" s="82"/>
      <c r="O49" s="205">
        <f>SUM(E49:N49)</f>
        <v>0</v>
      </c>
      <c r="P49" s="110"/>
      <c r="Q49" s="91">
        <f>SUM(E49:H49)</f>
        <v>0</v>
      </c>
      <c r="R49" s="50" t="e">
        <f>SUM(#REF!)</f>
        <v>#REF!</v>
      </c>
      <c r="S49" s="51" t="e">
        <f>SUM(#REF!)</f>
        <v>#REF!</v>
      </c>
      <c r="T49" s="52" t="e">
        <f>SUM(#REF!)</f>
        <v>#REF!</v>
      </c>
      <c r="U49" s="53" t="e">
        <f>SUM(#REF!)</f>
        <v>#REF!</v>
      </c>
      <c r="V49" s="53" t="e">
        <f>SUM(#REF!)</f>
        <v>#REF!</v>
      </c>
      <c r="W49" s="52">
        <f t="shared" si="10"/>
        <v>0</v>
      </c>
      <c r="X49" s="54" t="str">
        <f>IFERROR(VLOOKUP(C49&amp;D49,가락!$B$2:$E$498,2,FALSE),"")</f>
        <v/>
      </c>
      <c r="Y49" s="54" t="str">
        <f>IFERROR(VLOOKUP(C49&amp;D49,가락!B31:$E$498,3,FALSE),"")</f>
        <v/>
      </c>
      <c r="Z49" s="54" t="str">
        <f>IFERROR(VLOOKUP(C49&amp;D49,가락!B31:$E$498,4,FALSE),"")</f>
        <v/>
      </c>
    </row>
    <row r="50" spans="1:26" ht="35.1" customHeight="1" x14ac:dyDescent="0.3">
      <c r="A50" s="34">
        <v>28</v>
      </c>
      <c r="B50" s="169"/>
      <c r="C50" s="175"/>
      <c r="D50" s="175"/>
      <c r="E50" s="82"/>
      <c r="F50" s="82"/>
      <c r="G50" s="82"/>
      <c r="H50" s="125"/>
      <c r="I50" s="119"/>
      <c r="J50" s="86"/>
      <c r="K50" s="127"/>
      <c r="L50" s="108"/>
      <c r="M50" s="108"/>
      <c r="N50" s="82"/>
      <c r="O50" s="205">
        <f>SUM(E50:N50)</f>
        <v>0</v>
      </c>
      <c r="P50" s="110"/>
      <c r="Q50" s="91">
        <f>SUM(E50:H50)</f>
        <v>0</v>
      </c>
      <c r="R50" s="52" t="e">
        <f>SUM(#REF!)</f>
        <v>#REF!</v>
      </c>
      <c r="S50" s="51" t="e">
        <f>SUM(#REF!)</f>
        <v>#REF!</v>
      </c>
      <c r="T50" s="52" t="e">
        <f>SUM(#REF!)</f>
        <v>#REF!</v>
      </c>
      <c r="U50" s="53" t="e">
        <f>SUM(#REF!)</f>
        <v>#REF!</v>
      </c>
      <c r="V50" s="53" t="e">
        <f>SUM(#REF!)</f>
        <v>#REF!</v>
      </c>
      <c r="W50" s="52">
        <f t="shared" si="10"/>
        <v>0</v>
      </c>
      <c r="X50" s="54" t="str">
        <f>IFERROR(VLOOKUP(C50&amp;D50,가락!$B$2:$E$498,2,FALSE),"")</f>
        <v/>
      </c>
      <c r="Y50" s="54" t="str">
        <f>IFERROR(VLOOKUP(C50&amp;D50,가락!B32:$E$498,3,FALSE),"")</f>
        <v/>
      </c>
      <c r="Z50" s="54" t="str">
        <f>IFERROR(VLOOKUP(C50&amp;D50,가락!B32:$E$498,4,FALSE),"")</f>
        <v/>
      </c>
    </row>
    <row r="51" spans="1:26" ht="35.1" customHeight="1" x14ac:dyDescent="0.3">
      <c r="A51" s="34">
        <v>29</v>
      </c>
      <c r="B51" s="169"/>
      <c r="C51" s="84"/>
      <c r="D51" s="85"/>
      <c r="E51" s="82"/>
      <c r="F51" s="82"/>
      <c r="G51" s="82"/>
      <c r="H51" s="125"/>
      <c r="I51" s="119"/>
      <c r="J51" s="86"/>
      <c r="K51" s="127"/>
      <c r="L51" s="108"/>
      <c r="M51" s="108"/>
      <c r="N51" s="82"/>
      <c r="O51" s="205">
        <f>SUM(E51:N51)</f>
        <v>0</v>
      </c>
      <c r="P51" s="110"/>
      <c r="Q51" s="91">
        <f>SUM(E51:H51)</f>
        <v>0</v>
      </c>
      <c r="R51" s="52" t="e">
        <f>SUM(#REF!)</f>
        <v>#REF!</v>
      </c>
      <c r="S51" s="51" t="e">
        <f>SUM(#REF!)</f>
        <v>#REF!</v>
      </c>
      <c r="T51" s="52" t="e">
        <f>SUM(#REF!)</f>
        <v>#REF!</v>
      </c>
      <c r="U51" s="53" t="e">
        <f>SUM(#REF!)</f>
        <v>#REF!</v>
      </c>
      <c r="V51" s="53" t="e">
        <f>SUM(#REF!)</f>
        <v>#REF!</v>
      </c>
      <c r="W51" s="52">
        <f t="shared" si="10"/>
        <v>0</v>
      </c>
      <c r="X51" s="54" t="str">
        <f>IFERROR(VLOOKUP(C51&amp;D51,가락!$B$2:$E$498,2,FALSE),"")</f>
        <v/>
      </c>
      <c r="Y51" s="54" t="str">
        <f>IFERROR(VLOOKUP(C51&amp;D51,가락!B33:$E$498,3,FALSE),"")</f>
        <v/>
      </c>
      <c r="Z51" s="54" t="str">
        <f>IFERROR(VLOOKUP(C51&amp;D51,가락!B33:$E$498,4,FALSE),"")</f>
        <v/>
      </c>
    </row>
    <row r="52" spans="1:26" ht="35.1" customHeight="1" x14ac:dyDescent="0.3">
      <c r="A52" s="34">
        <v>30</v>
      </c>
      <c r="B52" s="169"/>
      <c r="C52" s="84"/>
      <c r="D52" s="84"/>
      <c r="E52" s="82"/>
      <c r="F52" s="82"/>
      <c r="G52" s="82"/>
      <c r="H52" s="125"/>
      <c r="I52" s="119"/>
      <c r="J52" s="86"/>
      <c r="K52" s="127"/>
      <c r="L52" s="108"/>
      <c r="M52" s="108"/>
      <c r="N52" s="82"/>
      <c r="O52" s="205">
        <f>SUM(E52:N52)</f>
        <v>0</v>
      </c>
      <c r="P52" s="110"/>
      <c r="Q52" s="91">
        <f>SUM(E52:H52)</f>
        <v>0</v>
      </c>
      <c r="R52" s="52" t="e">
        <f>SUM(#REF!)</f>
        <v>#REF!</v>
      </c>
      <c r="S52" s="51" t="e">
        <f>SUM(#REF!)</f>
        <v>#REF!</v>
      </c>
      <c r="T52" s="52" t="e">
        <f>SUM(#REF!)</f>
        <v>#REF!</v>
      </c>
      <c r="U52" s="53" t="e">
        <f>SUM(#REF!)</f>
        <v>#REF!</v>
      </c>
      <c r="V52" s="53" t="e">
        <f>SUM(#REF!)</f>
        <v>#REF!</v>
      </c>
      <c r="W52" s="52">
        <f t="shared" si="10"/>
        <v>0</v>
      </c>
      <c r="X52" s="54" t="str">
        <f>IFERROR(VLOOKUP(C52&amp;D52,가락!$B$2:$E$498,2,FALSE),"")</f>
        <v/>
      </c>
      <c r="Y52" s="54" t="str">
        <f>IFERROR(VLOOKUP(C52&amp;D52,가락!B34:$E$498,3,FALSE),"")</f>
        <v/>
      </c>
      <c r="Z52" s="54" t="str">
        <f>IFERROR(VLOOKUP(C52&amp;D52,가락!B34:$E$498,4,FALSE),"")</f>
        <v/>
      </c>
    </row>
    <row r="53" spans="1:26" ht="35.1" customHeight="1" x14ac:dyDescent="0.3">
      <c r="B53" s="169"/>
      <c r="C53" s="84"/>
      <c r="D53" s="84"/>
      <c r="E53" s="82"/>
      <c r="F53" s="82"/>
      <c r="G53" s="82"/>
      <c r="H53" s="125"/>
      <c r="I53" s="119"/>
      <c r="J53" s="86"/>
      <c r="K53" s="127"/>
      <c r="L53" s="108"/>
      <c r="M53" s="108"/>
      <c r="N53" s="82"/>
      <c r="O53" s="205">
        <f>SUM(E53:N53)</f>
        <v>0</v>
      </c>
      <c r="P53" s="110"/>
      <c r="Q53" s="91"/>
      <c r="R53" s="52"/>
      <c r="S53" s="51"/>
      <c r="T53" s="52"/>
      <c r="U53" s="53"/>
      <c r="V53" s="53"/>
      <c r="W53" s="52"/>
      <c r="X53" s="56"/>
      <c r="Y53" s="56"/>
      <c r="Z53" s="56"/>
    </row>
    <row r="54" spans="1:26" ht="35.1" customHeight="1" x14ac:dyDescent="0.3">
      <c r="A54" s="34">
        <v>31</v>
      </c>
      <c r="B54" s="169"/>
      <c r="C54" s="84"/>
      <c r="D54" s="84"/>
      <c r="E54" s="82"/>
      <c r="F54" s="82"/>
      <c r="G54" s="82"/>
      <c r="H54" s="125"/>
      <c r="I54" s="119"/>
      <c r="J54" s="86"/>
      <c r="K54" s="127"/>
      <c r="L54" s="108"/>
      <c r="M54" s="108"/>
      <c r="N54" s="82"/>
      <c r="O54" s="205">
        <f>SUM(E54:N54)</f>
        <v>0</v>
      </c>
      <c r="P54" s="110"/>
      <c r="Q54" s="91">
        <f>SUM(E54:H54)</f>
        <v>0</v>
      </c>
      <c r="R54" s="52" t="e">
        <f>SUM(#REF!)</f>
        <v>#REF!</v>
      </c>
      <c r="S54" s="51" t="e">
        <f>SUM(#REF!)</f>
        <v>#REF!</v>
      </c>
      <c r="T54" s="52" t="e">
        <f>SUM(#REF!)</f>
        <v>#REF!</v>
      </c>
      <c r="U54" s="53" t="e">
        <f>SUM(#REF!)</f>
        <v>#REF!</v>
      </c>
      <c r="V54" s="53" t="e">
        <f>SUM(#REF!)</f>
        <v>#REF!</v>
      </c>
      <c r="W54" s="52">
        <f>SUM(N54:N54)</f>
        <v>0</v>
      </c>
      <c r="X54" s="56" t="str">
        <f>IFERROR(VLOOKUP(C54&amp;#REF!,가락!$B$2:$E$498,2,FALSE),"")</f>
        <v/>
      </c>
      <c r="Y54" s="56" t="str">
        <f>IFERROR(VLOOKUP(C54&amp;#REF!,가락!B35:$E$498,3,FALSE),"")</f>
        <v/>
      </c>
      <c r="Z54" s="56" t="str">
        <f>IFERROR(VLOOKUP(C54&amp;#REF!,가락!B35:$E$498,4,FALSE),"")</f>
        <v/>
      </c>
    </row>
    <row r="55" spans="1:26" ht="35.1" customHeight="1" x14ac:dyDescent="0.3">
      <c r="B55" s="181"/>
      <c r="C55" s="84"/>
      <c r="D55" s="84"/>
      <c r="E55" s="82"/>
      <c r="F55" s="82"/>
      <c r="G55" s="82"/>
      <c r="H55" s="125"/>
      <c r="I55" s="108"/>
      <c r="J55" s="86"/>
      <c r="K55" s="127"/>
      <c r="L55" s="108"/>
      <c r="M55" s="108"/>
      <c r="N55" s="86"/>
      <c r="O55" s="154">
        <f>SUM(E55:N55)</f>
        <v>0</v>
      </c>
      <c r="P55" s="110"/>
      <c r="Q55" s="91"/>
      <c r="R55" s="52"/>
      <c r="S55" s="51"/>
      <c r="T55" s="52"/>
      <c r="U55" s="53"/>
      <c r="V55" s="53"/>
      <c r="W55" s="52"/>
      <c r="X55" s="81"/>
      <c r="Y55" s="81"/>
      <c r="Z55" s="81"/>
    </row>
    <row r="56" spans="1:26" ht="35.1" customHeight="1" x14ac:dyDescent="0.3">
      <c r="B56" s="181"/>
      <c r="C56" s="84"/>
      <c r="D56" s="84"/>
      <c r="E56" s="82"/>
      <c r="F56" s="82"/>
      <c r="G56" s="82"/>
      <c r="H56" s="125"/>
      <c r="I56" s="108"/>
      <c r="J56" s="86"/>
      <c r="K56" s="127"/>
      <c r="L56" s="108"/>
      <c r="M56" s="108"/>
      <c r="N56" s="86"/>
      <c r="O56" s="154">
        <f>SUM(E56:N56)</f>
        <v>0</v>
      </c>
      <c r="P56" s="110"/>
      <c r="Q56" s="91"/>
      <c r="R56" s="52"/>
      <c r="S56" s="51"/>
      <c r="T56" s="52"/>
      <c r="U56" s="53"/>
      <c r="V56" s="53"/>
      <c r="W56" s="52"/>
      <c r="X56" s="81"/>
      <c r="Y56" s="81"/>
      <c r="Z56" s="81"/>
    </row>
    <row r="57" spans="1:26" ht="35.1" customHeight="1" thickBot="1" x14ac:dyDescent="0.35">
      <c r="B57" s="181"/>
      <c r="C57" s="144"/>
      <c r="D57" s="144"/>
      <c r="E57" s="115"/>
      <c r="F57" s="115"/>
      <c r="G57" s="115"/>
      <c r="H57" s="145"/>
      <c r="I57" s="146"/>
      <c r="J57" s="176"/>
      <c r="K57" s="199"/>
      <c r="L57" s="177"/>
      <c r="M57" s="177"/>
      <c r="N57" s="115"/>
      <c r="O57" s="154">
        <f>SUM(E57:N57)</f>
        <v>0</v>
      </c>
      <c r="P57" s="147"/>
      <c r="Q57" s="91"/>
      <c r="R57" s="52"/>
      <c r="S57" s="51"/>
      <c r="T57" s="52"/>
      <c r="U57" s="53"/>
      <c r="V57" s="53"/>
      <c r="W57" s="52"/>
      <c r="X57" s="81"/>
      <c r="Y57" s="81"/>
      <c r="Z57" s="81"/>
    </row>
    <row r="58" spans="1:26" ht="35.1" customHeight="1" thickBot="1" x14ac:dyDescent="0.35">
      <c r="B58" s="237"/>
      <c r="C58" s="238"/>
      <c r="D58" s="239"/>
      <c r="E58" s="141"/>
      <c r="F58" s="138"/>
      <c r="G58" s="138"/>
      <c r="H58" s="139"/>
      <c r="I58" s="140"/>
      <c r="J58" s="162"/>
      <c r="K58" s="200"/>
      <c r="L58" s="163"/>
      <c r="M58" s="163"/>
      <c r="N58" s="138">
        <f t="shared" ref="N58" si="11">SUM(N33:N54)</f>
        <v>0</v>
      </c>
      <c r="O58" s="142">
        <f>SUM(E58:N58)</f>
        <v>0</v>
      </c>
      <c r="P58" s="143"/>
      <c r="Q58" s="92"/>
      <c r="R58" s="57"/>
      <c r="S58" s="58"/>
      <c r="T58" s="57"/>
      <c r="U58" s="59"/>
      <c r="V58" s="59"/>
      <c r="W58" s="57"/>
      <c r="X58" s="57"/>
      <c r="Y58" s="57"/>
      <c r="Z58" s="57"/>
    </row>
    <row r="59" spans="1:26" ht="35.1" customHeight="1" thickBot="1" x14ac:dyDescent="0.35">
      <c r="B59" s="234" t="s">
        <v>39</v>
      </c>
      <c r="C59" s="235"/>
      <c r="D59" s="236"/>
      <c r="E59" s="151">
        <f>E30-E58</f>
        <v>0</v>
      </c>
      <c r="F59" s="148">
        <f>F30-F58</f>
        <v>0</v>
      </c>
      <c r="G59" s="148">
        <f>G30-G58</f>
        <v>0</v>
      </c>
      <c r="H59" s="149">
        <f>H30-H58</f>
        <v>0</v>
      </c>
      <c r="I59" s="150"/>
      <c r="J59" s="164"/>
      <c r="K59" s="201"/>
      <c r="L59" s="165"/>
      <c r="M59" s="165"/>
      <c r="N59" s="148">
        <f>N30-N58</f>
        <v>5</v>
      </c>
      <c r="O59" s="152">
        <f>SUM(E59:N59)</f>
        <v>5</v>
      </c>
      <c r="P59" s="153"/>
      <c r="Q59" s="93"/>
      <c r="R59" s="60"/>
      <c r="S59" s="61"/>
      <c r="T59" s="60"/>
      <c r="U59" s="62"/>
      <c r="V59" s="62"/>
      <c r="W59" s="60"/>
      <c r="X59" s="60"/>
      <c r="Y59" s="60"/>
      <c r="Z59" s="60"/>
    </row>
    <row r="60" spans="1:26" ht="35.1" customHeight="1" x14ac:dyDescent="0.3">
      <c r="J60" s="187"/>
      <c r="K60" s="187"/>
      <c r="L60" s="187"/>
      <c r="M60" s="187"/>
    </row>
    <row r="61" spans="1:26" ht="35.1" customHeight="1" x14ac:dyDescent="0.3">
      <c r="E61" s="34">
        <f t="shared" ref="E61:H61" si="12">E32</f>
        <v>0</v>
      </c>
      <c r="F61" s="34">
        <f t="shared" si="12"/>
        <v>0</v>
      </c>
      <c r="G61" s="34">
        <f t="shared" si="12"/>
        <v>0</v>
      </c>
      <c r="H61" s="34">
        <f t="shared" si="12"/>
        <v>0</v>
      </c>
      <c r="J61" s="187"/>
      <c r="K61" s="187"/>
      <c r="L61" s="187"/>
      <c r="M61" s="187"/>
      <c r="N61" s="37">
        <f>N32</f>
        <v>5</v>
      </c>
      <c r="O61" s="38">
        <f>SUM(E61:N61)</f>
        <v>5</v>
      </c>
      <c r="P61" s="40"/>
    </row>
    <row r="62" spans="1:26" ht="35.1" customHeight="1" x14ac:dyDescent="0.3">
      <c r="E62" s="63">
        <v>18</v>
      </c>
      <c r="F62" s="63">
        <v>136</v>
      </c>
      <c r="G62" s="63">
        <v>182</v>
      </c>
      <c r="H62" s="63">
        <v>108</v>
      </c>
      <c r="I62" s="64"/>
      <c r="J62" s="202"/>
      <c r="K62" s="202"/>
      <c r="L62" s="202"/>
      <c r="M62" s="202"/>
      <c r="N62" s="64">
        <v>0</v>
      </c>
      <c r="O62" s="65">
        <v>274</v>
      </c>
      <c r="P62" s="40"/>
    </row>
    <row r="63" spans="1:26" ht="35.1" customHeight="1" x14ac:dyDescent="0.3">
      <c r="E63" s="34">
        <f t="shared" ref="E63:H63" si="13">E61-E62</f>
        <v>-18</v>
      </c>
      <c r="F63" s="34">
        <f t="shared" si="13"/>
        <v>-136</v>
      </c>
      <c r="G63" s="34">
        <f t="shared" si="13"/>
        <v>-182</v>
      </c>
      <c r="H63" s="34">
        <f t="shared" si="13"/>
        <v>-108</v>
      </c>
      <c r="J63" s="187"/>
      <c r="K63" s="187"/>
      <c r="L63" s="187"/>
      <c r="M63" s="187"/>
      <c r="N63" s="37">
        <f t="shared" ref="N63" si="14">N61-N62</f>
        <v>5</v>
      </c>
      <c r="O63" s="38">
        <f>SUM(E63:N63)</f>
        <v>-439</v>
      </c>
      <c r="P63" s="40"/>
    </row>
    <row r="64" spans="1:26" ht="35.1" customHeight="1" x14ac:dyDescent="0.3">
      <c r="J64" s="187"/>
      <c r="K64" s="187"/>
      <c r="L64" s="187"/>
      <c r="M64" s="187"/>
    </row>
    <row r="65" spans="4:16" ht="35.1" customHeight="1" x14ac:dyDescent="0.3">
      <c r="J65" s="187"/>
      <c r="K65" s="187"/>
      <c r="L65" s="187"/>
      <c r="M65" s="187"/>
    </row>
    <row r="66" spans="4:16" ht="35.1" customHeight="1" x14ac:dyDescent="0.3">
      <c r="J66" s="187"/>
      <c r="K66" s="187"/>
      <c r="L66" s="187"/>
      <c r="M66" s="187"/>
    </row>
    <row r="67" spans="4:16" ht="35.1" customHeight="1" x14ac:dyDescent="0.3">
      <c r="D67" s="66"/>
      <c r="J67" s="187"/>
      <c r="K67" s="187"/>
      <c r="L67" s="187"/>
      <c r="M67" s="187"/>
    </row>
    <row r="68" spans="4:16" ht="35.1" customHeight="1" x14ac:dyDescent="0.3">
      <c r="D68" s="66"/>
      <c r="J68" s="187"/>
      <c r="K68" s="187"/>
      <c r="L68" s="187"/>
      <c r="M68" s="187"/>
    </row>
    <row r="69" spans="4:16" ht="35.1" customHeight="1" x14ac:dyDescent="0.3">
      <c r="D69" s="67"/>
      <c r="J69" s="187"/>
      <c r="K69" s="187"/>
      <c r="L69" s="187"/>
      <c r="M69" s="187"/>
    </row>
    <row r="70" spans="4:16" ht="35.1" customHeight="1" x14ac:dyDescent="0.3">
      <c r="D70" s="67"/>
      <c r="J70" s="187"/>
      <c r="K70" s="187"/>
      <c r="L70" s="187"/>
      <c r="M70" s="187"/>
    </row>
    <row r="71" spans="4:16" ht="35.1" customHeight="1" x14ac:dyDescent="0.3">
      <c r="D71" s="66"/>
      <c r="J71" s="187"/>
      <c r="K71" s="187"/>
      <c r="L71" s="187"/>
      <c r="M71" s="187"/>
    </row>
    <row r="72" spans="4:16" ht="35.1" customHeight="1" x14ac:dyDescent="0.3">
      <c r="D72" s="67"/>
      <c r="J72" s="187"/>
      <c r="K72" s="187"/>
      <c r="L72" s="187"/>
      <c r="M72" s="187"/>
    </row>
    <row r="73" spans="4:16" ht="35.1" customHeight="1" x14ac:dyDescent="0.3">
      <c r="D73" s="66"/>
      <c r="J73" s="187"/>
      <c r="K73" s="187"/>
      <c r="L73" s="187"/>
      <c r="M73" s="187"/>
    </row>
    <row r="74" spans="4:16" ht="35.1" customHeight="1" x14ac:dyDescent="0.3">
      <c r="J74" s="187"/>
      <c r="K74" s="187"/>
      <c r="L74" s="187"/>
      <c r="M74" s="187"/>
    </row>
    <row r="75" spans="4:16" ht="35.1" customHeight="1" x14ac:dyDescent="0.3">
      <c r="D75" s="67"/>
      <c r="J75" s="187"/>
      <c r="K75" s="187"/>
      <c r="L75" s="187"/>
      <c r="M75" s="187"/>
    </row>
    <row r="76" spans="4:16" ht="35.1" customHeight="1" x14ac:dyDescent="0.3">
      <c r="D76" s="66"/>
      <c r="I76" s="34"/>
      <c r="J76" s="174"/>
      <c r="K76" s="174"/>
      <c r="L76" s="174"/>
      <c r="M76" s="174"/>
      <c r="N76" s="34"/>
      <c r="O76" s="34"/>
      <c r="P76" s="34"/>
    </row>
    <row r="77" spans="4:16" ht="35.1" customHeight="1" x14ac:dyDescent="0.3">
      <c r="J77" s="187"/>
      <c r="K77" s="187"/>
      <c r="L77" s="187"/>
      <c r="M77" s="187"/>
    </row>
    <row r="78" spans="4:16" ht="35.1" customHeight="1" x14ac:dyDescent="0.3">
      <c r="J78" s="187"/>
      <c r="K78" s="187"/>
      <c r="L78" s="187"/>
      <c r="M78" s="187"/>
    </row>
    <row r="79" spans="4:16" ht="35.1" customHeight="1" x14ac:dyDescent="0.3">
      <c r="J79" s="187"/>
      <c r="K79" s="187"/>
      <c r="L79" s="187"/>
      <c r="M79" s="187"/>
    </row>
    <row r="80" spans="4:16" ht="35.1" customHeight="1" x14ac:dyDescent="0.3">
      <c r="J80" s="187"/>
      <c r="K80" s="187"/>
      <c r="L80" s="187"/>
      <c r="M80" s="187"/>
    </row>
    <row r="81" spans="2:16" ht="35.1" customHeight="1" x14ac:dyDescent="0.3">
      <c r="J81" s="187"/>
      <c r="K81" s="187"/>
      <c r="L81" s="187"/>
      <c r="M81" s="187"/>
    </row>
    <row r="82" spans="2:16" ht="35.1" customHeight="1" x14ac:dyDescent="0.3">
      <c r="J82" s="187"/>
      <c r="K82" s="187"/>
      <c r="L82" s="187"/>
      <c r="M82" s="187"/>
    </row>
    <row r="83" spans="2:16" ht="35.1" customHeight="1" x14ac:dyDescent="0.3">
      <c r="J83" s="187"/>
      <c r="K83" s="187"/>
      <c r="L83" s="187"/>
      <c r="M83" s="187"/>
    </row>
    <row r="84" spans="2:16" ht="35.1" customHeight="1" x14ac:dyDescent="0.3">
      <c r="J84" s="187"/>
      <c r="K84" s="187"/>
      <c r="L84" s="187"/>
      <c r="M84" s="187"/>
    </row>
    <row r="85" spans="2:16" ht="35.1" customHeight="1" x14ac:dyDescent="0.3">
      <c r="J85" s="187"/>
      <c r="K85" s="187"/>
      <c r="L85" s="187"/>
      <c r="M85" s="187"/>
    </row>
    <row r="86" spans="2:16" ht="35.1" customHeight="1" x14ac:dyDescent="0.3">
      <c r="J86" s="187"/>
      <c r="K86" s="187"/>
      <c r="L86" s="187"/>
      <c r="M86" s="187"/>
    </row>
    <row r="87" spans="2:16" ht="35.1" customHeight="1" x14ac:dyDescent="0.3">
      <c r="B87" s="68"/>
      <c r="I87" s="34"/>
      <c r="J87" s="174"/>
      <c r="K87" s="174"/>
      <c r="L87" s="174"/>
      <c r="M87" s="174"/>
      <c r="N87" s="34"/>
      <c r="O87" s="34"/>
      <c r="P87" s="34"/>
    </row>
  </sheetData>
  <sortState xmlns:xlrd2="http://schemas.microsoft.com/office/spreadsheetml/2017/richdata2" ref="C18:X29">
    <sortCondition ref="C18:C29"/>
  </sortState>
  <mergeCells count="14">
    <mergeCell ref="E15:H15"/>
    <mergeCell ref="E14:H14"/>
    <mergeCell ref="J14:M14"/>
    <mergeCell ref="J15:M15"/>
    <mergeCell ref="B59:D59"/>
    <mergeCell ref="B58:D58"/>
    <mergeCell ref="B15:D15"/>
    <mergeCell ref="B14:D14"/>
    <mergeCell ref="B30:D30"/>
    <mergeCell ref="B31:D31"/>
    <mergeCell ref="B32:D32"/>
    <mergeCell ref="S31:T31"/>
    <mergeCell ref="P14:P16"/>
    <mergeCell ref="O14:O16"/>
  </mergeCells>
  <phoneticPr fontId="1" type="noConversion"/>
  <pageMargins left="0.15748031496062992" right="0.15748031496062992" top="0.74803149606299213" bottom="0.74803149606299213" header="0.31496062992125984" footer="0.31496062992125984"/>
  <pageSetup paperSize="9" scale="27" orientation="landscape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5"/>
  <sheetViews>
    <sheetView topLeftCell="A104" workbookViewId="0">
      <selection activeCell="E125" sqref="E125"/>
    </sheetView>
  </sheetViews>
  <sheetFormatPr defaultColWidth="9" defaultRowHeight="24.95" customHeight="1" x14ac:dyDescent="0.3"/>
  <cols>
    <col min="1" max="1" width="10.25" style="17" bestFit="1" customWidth="1"/>
    <col min="2" max="2" width="21.375" style="17" customWidth="1"/>
    <col min="3" max="3" width="82.375" style="17" bestFit="1" customWidth="1"/>
    <col min="4" max="4" width="23.25" style="17" customWidth="1"/>
    <col min="5" max="5" width="35.75" style="17" bestFit="1" customWidth="1"/>
    <col min="6" max="16384" width="9" style="17"/>
  </cols>
  <sheetData>
    <row r="1" spans="1:5" ht="24.95" customHeight="1" thickBot="1" x14ac:dyDescent="0.35">
      <c r="A1" s="12" t="s">
        <v>40</v>
      </c>
      <c r="B1" s="13" t="s">
        <v>41</v>
      </c>
      <c r="C1" s="14" t="s">
        <v>22</v>
      </c>
      <c r="D1" s="15" t="s">
        <v>23</v>
      </c>
      <c r="E1" s="16" t="s">
        <v>42</v>
      </c>
    </row>
    <row r="2" spans="1:5" ht="24.95" customHeight="1" x14ac:dyDescent="0.3">
      <c r="A2" s="18" t="s">
        <v>43</v>
      </c>
      <c r="B2" s="19" t="s">
        <v>44</v>
      </c>
      <c r="C2" s="20" t="s">
        <v>45</v>
      </c>
      <c r="D2" s="21"/>
      <c r="E2" s="21" t="s">
        <v>46</v>
      </c>
    </row>
    <row r="3" spans="1:5" ht="24.95" customHeight="1" x14ac:dyDescent="0.3">
      <c r="A3" s="22" t="s">
        <v>47</v>
      </c>
      <c r="B3" s="23" t="s">
        <v>48</v>
      </c>
      <c r="C3" s="24" t="s">
        <v>49</v>
      </c>
      <c r="D3" s="25" t="s">
        <v>50</v>
      </c>
      <c r="E3" s="25" t="s">
        <v>51</v>
      </c>
    </row>
    <row r="4" spans="1:5" ht="24.95" customHeight="1" x14ac:dyDescent="0.3">
      <c r="A4" s="22" t="s">
        <v>52</v>
      </c>
      <c r="B4" s="23" t="s">
        <v>53</v>
      </c>
      <c r="C4" s="30" t="s">
        <v>54</v>
      </c>
      <c r="D4" s="25"/>
      <c r="E4" s="25"/>
    </row>
    <row r="5" spans="1:5" ht="24.95" customHeight="1" x14ac:dyDescent="0.3">
      <c r="A5" s="22" t="s">
        <v>52</v>
      </c>
      <c r="B5" s="23" t="s">
        <v>55</v>
      </c>
      <c r="C5" s="30" t="s">
        <v>54</v>
      </c>
      <c r="D5" s="25"/>
      <c r="E5" s="25"/>
    </row>
    <row r="6" spans="1:5" ht="24.95" customHeight="1" x14ac:dyDescent="0.3">
      <c r="A6" s="22" t="s">
        <v>52</v>
      </c>
      <c r="B6" s="23" t="s">
        <v>56</v>
      </c>
      <c r="C6" s="30" t="s">
        <v>54</v>
      </c>
      <c r="D6" s="25"/>
      <c r="E6" s="25"/>
    </row>
    <row r="7" spans="1:5" ht="24.95" customHeight="1" x14ac:dyDescent="0.3">
      <c r="A7" s="22" t="s">
        <v>52</v>
      </c>
      <c r="B7" s="23" t="s">
        <v>57</v>
      </c>
      <c r="C7" s="24" t="s">
        <v>58</v>
      </c>
      <c r="D7" s="25"/>
      <c r="E7" s="25"/>
    </row>
    <row r="8" spans="1:5" ht="24.95" customHeight="1" x14ac:dyDescent="0.3">
      <c r="A8" s="22" t="s">
        <v>52</v>
      </c>
      <c r="B8" s="23" t="s">
        <v>59</v>
      </c>
      <c r="C8" s="24" t="s">
        <v>58</v>
      </c>
      <c r="D8" s="25"/>
      <c r="E8" s="25"/>
    </row>
    <row r="9" spans="1:5" ht="24.95" customHeight="1" x14ac:dyDescent="0.3">
      <c r="A9" s="22" t="s">
        <v>60</v>
      </c>
      <c r="B9" s="23" t="s">
        <v>61</v>
      </c>
      <c r="C9" s="24" t="s">
        <v>58</v>
      </c>
      <c r="D9" s="25"/>
      <c r="E9" s="25"/>
    </row>
    <row r="10" spans="1:5" ht="24.95" customHeight="1" x14ac:dyDescent="0.3">
      <c r="A10" s="22" t="s">
        <v>60</v>
      </c>
      <c r="B10" s="23" t="s">
        <v>62</v>
      </c>
      <c r="C10" s="24" t="s">
        <v>58</v>
      </c>
      <c r="D10" s="25"/>
      <c r="E10" s="25"/>
    </row>
    <row r="11" spans="1:5" ht="24.95" customHeight="1" x14ac:dyDescent="0.3">
      <c r="A11" s="22" t="s">
        <v>63</v>
      </c>
      <c r="B11" s="23" t="s">
        <v>64</v>
      </c>
      <c r="C11" s="24" t="s">
        <v>65</v>
      </c>
      <c r="D11" s="25" t="s">
        <v>66</v>
      </c>
      <c r="E11" s="25" t="s">
        <v>67</v>
      </c>
    </row>
    <row r="12" spans="1:5" ht="24.95" customHeight="1" x14ac:dyDescent="0.3">
      <c r="A12" s="22" t="s">
        <v>63</v>
      </c>
      <c r="B12" s="23" t="s">
        <v>68</v>
      </c>
      <c r="C12" s="24" t="s">
        <v>69</v>
      </c>
      <c r="D12" s="25"/>
      <c r="E12" s="25" t="s">
        <v>70</v>
      </c>
    </row>
    <row r="13" spans="1:5" ht="24.95" customHeight="1" x14ac:dyDescent="0.3">
      <c r="A13" s="22" t="s">
        <v>71</v>
      </c>
      <c r="B13" s="23" t="s">
        <v>72</v>
      </c>
      <c r="C13" s="24" t="s">
        <v>73</v>
      </c>
      <c r="D13" s="25"/>
      <c r="E13" s="25" t="s">
        <v>74</v>
      </c>
    </row>
    <row r="14" spans="1:5" ht="24.95" customHeight="1" x14ac:dyDescent="0.3">
      <c r="A14" s="22" t="s">
        <v>75</v>
      </c>
      <c r="B14" s="23" t="s">
        <v>76</v>
      </c>
      <c r="C14" s="24" t="s">
        <v>77</v>
      </c>
      <c r="D14" s="25"/>
      <c r="E14" s="25" t="s">
        <v>78</v>
      </c>
    </row>
    <row r="15" spans="1:5" ht="24.95" customHeight="1" x14ac:dyDescent="0.3">
      <c r="A15" s="22" t="s">
        <v>79</v>
      </c>
      <c r="B15" s="23" t="s">
        <v>80</v>
      </c>
      <c r="C15" s="30" t="s">
        <v>81</v>
      </c>
      <c r="D15" s="25"/>
      <c r="E15" s="25" t="s">
        <v>82</v>
      </c>
    </row>
    <row r="16" spans="1:5" ht="24.95" customHeight="1" x14ac:dyDescent="0.3">
      <c r="A16" s="22" t="s">
        <v>83</v>
      </c>
      <c r="B16" s="29" t="s">
        <v>84</v>
      </c>
      <c r="C16" s="30" t="s">
        <v>85</v>
      </c>
      <c r="D16" s="25"/>
      <c r="E16" s="25" t="s">
        <v>86</v>
      </c>
    </row>
    <row r="17" spans="1:26" ht="24.95" customHeight="1" x14ac:dyDescent="0.3">
      <c r="A17" s="22" t="s">
        <v>83</v>
      </c>
      <c r="B17" s="29" t="s">
        <v>87</v>
      </c>
      <c r="C17" s="24" t="s">
        <v>88</v>
      </c>
      <c r="D17" s="25"/>
      <c r="E17" s="25"/>
    </row>
    <row r="18" spans="1:26" ht="24.95" customHeight="1" x14ac:dyDescent="0.3">
      <c r="A18" s="22" t="s">
        <v>83</v>
      </c>
      <c r="B18" s="29" t="s">
        <v>89</v>
      </c>
      <c r="C18" s="30" t="s">
        <v>90</v>
      </c>
      <c r="D18" s="25"/>
      <c r="E18" s="25" t="s">
        <v>91</v>
      </c>
    </row>
    <row r="19" spans="1:26" ht="24.95" customHeight="1" x14ac:dyDescent="0.3">
      <c r="A19" s="22" t="s">
        <v>83</v>
      </c>
      <c r="B19" s="23" t="s">
        <v>92</v>
      </c>
      <c r="C19" s="24" t="s">
        <v>93</v>
      </c>
      <c r="D19" s="25"/>
      <c r="E19" s="25" t="s">
        <v>94</v>
      </c>
    </row>
    <row r="20" spans="1:26" ht="24.95" customHeight="1" x14ac:dyDescent="0.3">
      <c r="A20" s="22" t="s">
        <v>95</v>
      </c>
      <c r="B20" s="23" t="s">
        <v>96</v>
      </c>
      <c r="C20" s="24" t="s">
        <v>97</v>
      </c>
      <c r="D20" s="25"/>
      <c r="E20" s="25" t="s">
        <v>98</v>
      </c>
    </row>
    <row r="21" spans="1:26" ht="24.95" customHeight="1" x14ac:dyDescent="0.3">
      <c r="A21" s="22" t="s">
        <v>99</v>
      </c>
      <c r="B21" s="23" t="s">
        <v>100</v>
      </c>
      <c r="C21" s="79" t="s">
        <v>101</v>
      </c>
      <c r="D21" s="75"/>
      <c r="E21" s="75" t="s">
        <v>102</v>
      </c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24.95" customHeight="1" x14ac:dyDescent="0.3">
      <c r="A22" s="22" t="s">
        <v>103</v>
      </c>
      <c r="B22" s="23" t="s">
        <v>104</v>
      </c>
      <c r="C22" s="32" t="s">
        <v>105</v>
      </c>
      <c r="D22" s="75"/>
      <c r="E22" s="75" t="s">
        <v>106</v>
      </c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24.95" customHeight="1" x14ac:dyDescent="0.3">
      <c r="A23" s="22" t="s">
        <v>103</v>
      </c>
      <c r="B23" s="23" t="s">
        <v>107</v>
      </c>
      <c r="C23" s="32" t="s">
        <v>108</v>
      </c>
      <c r="D23" s="75"/>
      <c r="E23" s="75" t="s">
        <v>109</v>
      </c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24.95" customHeight="1" x14ac:dyDescent="0.3">
      <c r="A24" s="22" t="s">
        <v>110</v>
      </c>
      <c r="B24" s="23" t="s">
        <v>111</v>
      </c>
      <c r="C24" s="32" t="s">
        <v>112</v>
      </c>
      <c r="D24" s="75"/>
      <c r="E24" s="75" t="s">
        <v>113</v>
      </c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1:26" ht="24.95" customHeight="1" x14ac:dyDescent="0.3">
      <c r="A25" s="22" t="s">
        <v>110</v>
      </c>
      <c r="B25" s="23" t="s">
        <v>114</v>
      </c>
      <c r="C25" s="74" t="s">
        <v>115</v>
      </c>
      <c r="D25" s="75"/>
      <c r="E25" s="75" t="s">
        <v>116</v>
      </c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1:26" ht="24.95" customHeight="1" x14ac:dyDescent="0.3">
      <c r="A26" s="22" t="s">
        <v>117</v>
      </c>
      <c r="B26" s="23" t="s">
        <v>118</v>
      </c>
      <c r="C26" s="32" t="s">
        <v>119</v>
      </c>
      <c r="D26" s="75"/>
      <c r="E26" s="75" t="s">
        <v>120</v>
      </c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24.95" customHeight="1" x14ac:dyDescent="0.3">
      <c r="A27" s="22" t="s">
        <v>117</v>
      </c>
      <c r="B27" s="23" t="s">
        <v>121</v>
      </c>
      <c r="C27" s="32" t="s">
        <v>45</v>
      </c>
      <c r="D27" s="75" t="s">
        <v>122</v>
      </c>
      <c r="E27" s="75" t="s">
        <v>123</v>
      </c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1:26" ht="24.95" customHeight="1" x14ac:dyDescent="0.3">
      <c r="A28" s="22" t="s">
        <v>124</v>
      </c>
      <c r="B28" s="23" t="s">
        <v>125</v>
      </c>
      <c r="C28" s="32" t="s">
        <v>126</v>
      </c>
      <c r="D28" s="75"/>
      <c r="E28" s="75" t="s">
        <v>127</v>
      </c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spans="1:26" ht="24.95" customHeight="1" x14ac:dyDescent="0.3">
      <c r="A29" s="22" t="s">
        <v>124</v>
      </c>
      <c r="B29" s="23" t="s">
        <v>128</v>
      </c>
      <c r="C29" s="74" t="s">
        <v>129</v>
      </c>
      <c r="D29" s="75"/>
      <c r="E29" s="75" t="s">
        <v>130</v>
      </c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spans="1:26" ht="24.95" customHeight="1" x14ac:dyDescent="0.3">
      <c r="A30" s="22" t="s">
        <v>124</v>
      </c>
      <c r="B30" s="23" t="s">
        <v>131</v>
      </c>
      <c r="C30" s="32" t="s">
        <v>132</v>
      </c>
      <c r="D30" s="75"/>
      <c r="E30" s="75" t="s">
        <v>133</v>
      </c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spans="1:26" ht="24.95" customHeight="1" x14ac:dyDescent="0.3">
      <c r="A31" s="22" t="s">
        <v>124</v>
      </c>
      <c r="B31" s="23" t="s">
        <v>134</v>
      </c>
      <c r="C31" s="32" t="s">
        <v>135</v>
      </c>
      <c r="D31" s="75" t="s">
        <v>136</v>
      </c>
      <c r="E31" s="75" t="s">
        <v>137</v>
      </c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spans="1:26" ht="24.95" customHeight="1" x14ac:dyDescent="0.3">
      <c r="A32" s="22" t="s">
        <v>138</v>
      </c>
      <c r="B32" s="23" t="s">
        <v>139</v>
      </c>
      <c r="C32" s="32" t="s">
        <v>140</v>
      </c>
      <c r="D32" s="75"/>
      <c r="E32" s="75" t="s">
        <v>141</v>
      </c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spans="1:26" ht="24.95" customHeight="1" x14ac:dyDescent="0.3">
      <c r="A33" s="22" t="s">
        <v>138</v>
      </c>
      <c r="B33" s="23" t="s">
        <v>142</v>
      </c>
      <c r="C33" s="32" t="s">
        <v>143</v>
      </c>
      <c r="D33" s="75" t="s">
        <v>144</v>
      </c>
      <c r="E33" s="75" t="s">
        <v>145</v>
      </c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spans="1:26" ht="24.95" customHeight="1" x14ac:dyDescent="0.3">
      <c r="A34" s="22" t="s">
        <v>138</v>
      </c>
      <c r="B34" s="23" t="s">
        <v>146</v>
      </c>
      <c r="C34" s="32" t="s">
        <v>147</v>
      </c>
      <c r="D34" s="75"/>
      <c r="E34" s="75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spans="1:26" ht="24.95" customHeight="1" x14ac:dyDescent="0.3">
      <c r="A35" s="22" t="s">
        <v>138</v>
      </c>
      <c r="B35" s="23" t="s">
        <v>148</v>
      </c>
      <c r="C35" s="32" t="s">
        <v>149</v>
      </c>
      <c r="D35" s="77"/>
      <c r="E35" s="75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spans="1:26" ht="24.95" customHeight="1" x14ac:dyDescent="0.3">
      <c r="A36" s="22" t="s">
        <v>150</v>
      </c>
      <c r="B36" s="23" t="s">
        <v>151</v>
      </c>
      <c r="C36" s="32" t="s">
        <v>152</v>
      </c>
      <c r="D36" s="75"/>
      <c r="E36" s="75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spans="1:26" ht="24.95" customHeight="1" x14ac:dyDescent="0.3">
      <c r="A37" s="22" t="s">
        <v>153</v>
      </c>
      <c r="B37" s="23" t="s">
        <v>154</v>
      </c>
      <c r="C37" s="32" t="s">
        <v>155</v>
      </c>
      <c r="D37" s="75"/>
      <c r="E37" s="75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spans="1:26" ht="24.95" customHeight="1" x14ac:dyDescent="0.3">
      <c r="A38" s="22" t="s">
        <v>156</v>
      </c>
      <c r="B38" s="23" t="s">
        <v>157</v>
      </c>
      <c r="C38" s="32" t="s">
        <v>158</v>
      </c>
      <c r="D38" s="75"/>
      <c r="E38" s="75" t="s">
        <v>159</v>
      </c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spans="1:26" ht="24.95" customHeight="1" x14ac:dyDescent="0.3">
      <c r="A39" s="22" t="s">
        <v>156</v>
      </c>
      <c r="B39" s="23" t="s">
        <v>160</v>
      </c>
      <c r="C39" s="32" t="s">
        <v>161</v>
      </c>
      <c r="D39" s="73" t="s">
        <v>162</v>
      </c>
      <c r="E39" s="75" t="s">
        <v>163</v>
      </c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spans="1:26" ht="24.95" customHeight="1" x14ac:dyDescent="0.3">
      <c r="A40" s="22" t="s">
        <v>156</v>
      </c>
      <c r="B40" s="23" t="s">
        <v>164</v>
      </c>
      <c r="C40" s="32" t="s">
        <v>165</v>
      </c>
      <c r="D40" s="75"/>
      <c r="E40" s="75" t="s">
        <v>166</v>
      </c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spans="1:26" ht="24.95" customHeight="1" x14ac:dyDescent="0.3">
      <c r="A41" s="22" t="s">
        <v>167</v>
      </c>
      <c r="B41" s="23" t="s">
        <v>168</v>
      </c>
      <c r="C41" s="32" t="s">
        <v>169</v>
      </c>
      <c r="D41" s="75"/>
      <c r="E41" s="75" t="s">
        <v>170</v>
      </c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spans="1:26" ht="24.95" customHeight="1" x14ac:dyDescent="0.3">
      <c r="A42" s="22" t="s">
        <v>171</v>
      </c>
      <c r="B42" s="23" t="s">
        <v>172</v>
      </c>
      <c r="C42" s="32" t="s">
        <v>173</v>
      </c>
      <c r="D42" s="75"/>
      <c r="E42" s="75" t="s">
        <v>174</v>
      </c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spans="1:26" ht="24.95" customHeight="1" x14ac:dyDescent="0.3">
      <c r="A43" s="22" t="s">
        <v>171</v>
      </c>
      <c r="B43" s="23" t="s">
        <v>175</v>
      </c>
      <c r="C43" s="32" t="s">
        <v>176</v>
      </c>
      <c r="D43" s="75"/>
      <c r="E43" s="75" t="s">
        <v>177</v>
      </c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spans="1:26" ht="24.95" customHeight="1" x14ac:dyDescent="0.3">
      <c r="A44" s="22" t="s">
        <v>178</v>
      </c>
      <c r="B44" s="23" t="s">
        <v>179</v>
      </c>
      <c r="C44" s="32" t="s">
        <v>180</v>
      </c>
      <c r="D44" s="75"/>
      <c r="E44" s="75" t="s">
        <v>181</v>
      </c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spans="1:26" ht="24.95" customHeight="1" x14ac:dyDescent="0.3">
      <c r="A45" s="22" t="s">
        <v>178</v>
      </c>
      <c r="B45" s="23" t="s">
        <v>182</v>
      </c>
      <c r="C45" s="32" t="s">
        <v>183</v>
      </c>
      <c r="D45" s="75"/>
      <c r="E45" s="75" t="s">
        <v>184</v>
      </c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spans="1:26" ht="24.95" customHeight="1" x14ac:dyDescent="0.3">
      <c r="A46" s="22" t="s">
        <v>185</v>
      </c>
      <c r="B46" s="23" t="s">
        <v>186</v>
      </c>
      <c r="C46" s="32" t="s">
        <v>187</v>
      </c>
      <c r="D46" s="75"/>
      <c r="E46" s="75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spans="1:26" ht="24.95" customHeight="1" x14ac:dyDescent="0.3">
      <c r="A47" s="22" t="s">
        <v>185</v>
      </c>
      <c r="B47" s="23" t="s">
        <v>188</v>
      </c>
      <c r="C47" s="32" t="s">
        <v>189</v>
      </c>
      <c r="D47" s="75"/>
      <c r="E47" s="75" t="s">
        <v>190</v>
      </c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spans="1:26" ht="24.95" customHeight="1" x14ac:dyDescent="0.3">
      <c r="A48" s="22" t="s">
        <v>191</v>
      </c>
      <c r="B48" s="23" t="s">
        <v>192</v>
      </c>
      <c r="C48" s="32" t="s">
        <v>193</v>
      </c>
      <c r="D48" s="75"/>
      <c r="E48" s="75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spans="1:26" ht="24.95" customHeight="1" x14ac:dyDescent="0.3">
      <c r="A49" s="22" t="s">
        <v>194</v>
      </c>
      <c r="B49" s="23" t="s">
        <v>195</v>
      </c>
      <c r="C49" s="32" t="s">
        <v>196</v>
      </c>
      <c r="D49" s="75" t="s">
        <v>197</v>
      </c>
      <c r="E49" s="75" t="s">
        <v>198</v>
      </c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spans="1:26" ht="24.95" customHeight="1" x14ac:dyDescent="0.3">
      <c r="A50" s="22" t="s">
        <v>199</v>
      </c>
      <c r="B50" s="23" t="s">
        <v>200</v>
      </c>
      <c r="C50" s="32" t="s">
        <v>201</v>
      </c>
      <c r="D50" s="75"/>
      <c r="E50" s="75" t="s">
        <v>202</v>
      </c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spans="1:26" ht="24.95" customHeight="1" x14ac:dyDescent="0.3">
      <c r="A51" s="22" t="s">
        <v>203</v>
      </c>
      <c r="B51" s="23" t="s">
        <v>204</v>
      </c>
      <c r="C51" s="32" t="s">
        <v>205</v>
      </c>
      <c r="D51" s="75"/>
      <c r="E51" s="75" t="s">
        <v>206</v>
      </c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spans="1:26" ht="24.95" customHeight="1" x14ac:dyDescent="0.3">
      <c r="A52" s="22" t="s">
        <v>207</v>
      </c>
      <c r="B52" s="23" t="s">
        <v>208</v>
      </c>
      <c r="C52" s="26" t="s">
        <v>209</v>
      </c>
      <c r="D52" s="25"/>
      <c r="E52" s="25" t="s">
        <v>210</v>
      </c>
    </row>
    <row r="53" spans="1:26" ht="24.95" customHeight="1" x14ac:dyDescent="0.3">
      <c r="A53" s="22" t="s">
        <v>211</v>
      </c>
      <c r="B53" s="23" t="s">
        <v>212</v>
      </c>
      <c r="C53" s="24" t="s">
        <v>213</v>
      </c>
      <c r="D53" s="25" t="s">
        <v>214</v>
      </c>
      <c r="E53" s="25" t="s">
        <v>215</v>
      </c>
    </row>
    <row r="54" spans="1:26" ht="24.95" customHeight="1" x14ac:dyDescent="0.3">
      <c r="A54" s="22" t="s">
        <v>211</v>
      </c>
      <c r="B54" s="23" t="s">
        <v>216</v>
      </c>
      <c r="C54" s="24" t="s">
        <v>217</v>
      </c>
      <c r="D54" s="25"/>
      <c r="E54" s="25"/>
    </row>
    <row r="55" spans="1:26" ht="24.95" customHeight="1" x14ac:dyDescent="0.3">
      <c r="A55" s="22" t="s">
        <v>211</v>
      </c>
      <c r="B55" s="23" t="s">
        <v>218</v>
      </c>
      <c r="C55" s="24" t="s">
        <v>219</v>
      </c>
      <c r="D55" s="32" t="s">
        <v>219</v>
      </c>
      <c r="E55" s="25" t="s">
        <v>220</v>
      </c>
    </row>
    <row r="56" spans="1:26" ht="24.95" customHeight="1" x14ac:dyDescent="0.3">
      <c r="A56" s="22" t="s">
        <v>211</v>
      </c>
      <c r="B56" s="23" t="s">
        <v>221</v>
      </c>
      <c r="C56" s="24" t="s">
        <v>222</v>
      </c>
      <c r="D56" s="25"/>
      <c r="E56" s="25" t="s">
        <v>74</v>
      </c>
    </row>
    <row r="57" spans="1:26" ht="24.95" customHeight="1" x14ac:dyDescent="0.3">
      <c r="A57" s="22" t="s">
        <v>211</v>
      </c>
      <c r="B57" s="23" t="s">
        <v>223</v>
      </c>
      <c r="C57" s="24" t="s">
        <v>224</v>
      </c>
      <c r="D57" s="25"/>
      <c r="E57" s="25" t="s">
        <v>225</v>
      </c>
    </row>
    <row r="58" spans="1:26" ht="24.95" customHeight="1" x14ac:dyDescent="0.3">
      <c r="A58" s="22" t="s">
        <v>226</v>
      </c>
      <c r="B58" s="23" t="s">
        <v>227</v>
      </c>
      <c r="C58" s="24" t="s">
        <v>228</v>
      </c>
      <c r="D58" s="25"/>
      <c r="E58" s="25" t="s">
        <v>229</v>
      </c>
    </row>
    <row r="59" spans="1:26" ht="24.95" customHeight="1" x14ac:dyDescent="0.3">
      <c r="A59" s="22" t="s">
        <v>230</v>
      </c>
      <c r="B59" s="29" t="s">
        <v>231</v>
      </c>
      <c r="C59" s="24" t="s">
        <v>232</v>
      </c>
      <c r="D59" s="25"/>
      <c r="E59" s="25"/>
    </row>
    <row r="60" spans="1:26" ht="24.95" customHeight="1" x14ac:dyDescent="0.3">
      <c r="A60" s="22" t="s">
        <v>233</v>
      </c>
      <c r="B60" s="23" t="s">
        <v>234</v>
      </c>
      <c r="C60" s="24" t="s">
        <v>235</v>
      </c>
      <c r="D60" s="25" t="s">
        <v>236</v>
      </c>
      <c r="E60" s="25" t="s">
        <v>237</v>
      </c>
    </row>
    <row r="61" spans="1:26" ht="24.95" customHeight="1" x14ac:dyDescent="0.3">
      <c r="A61" s="22" t="s">
        <v>233</v>
      </c>
      <c r="B61" s="23" t="s">
        <v>238</v>
      </c>
      <c r="C61" s="24" t="s">
        <v>239</v>
      </c>
      <c r="D61" s="25"/>
      <c r="E61" s="25" t="s">
        <v>240</v>
      </c>
    </row>
    <row r="62" spans="1:26" ht="24.95" customHeight="1" x14ac:dyDescent="0.3">
      <c r="A62" s="22" t="s">
        <v>233</v>
      </c>
      <c r="B62" s="23" t="s">
        <v>238</v>
      </c>
      <c r="C62" s="24" t="s">
        <v>241</v>
      </c>
      <c r="D62" s="25"/>
      <c r="E62" s="25" t="s">
        <v>240</v>
      </c>
    </row>
    <row r="63" spans="1:26" ht="24.95" customHeight="1" x14ac:dyDescent="0.3">
      <c r="A63" s="22" t="s">
        <v>233</v>
      </c>
      <c r="B63" s="23" t="s">
        <v>242</v>
      </c>
      <c r="C63" s="24" t="s">
        <v>243</v>
      </c>
      <c r="D63" s="25"/>
      <c r="E63" s="25" t="s">
        <v>244</v>
      </c>
    </row>
    <row r="64" spans="1:26" ht="24.95" customHeight="1" x14ac:dyDescent="0.3">
      <c r="A64" s="22" t="s">
        <v>233</v>
      </c>
      <c r="B64" s="23" t="s">
        <v>242</v>
      </c>
      <c r="C64" s="24" t="s">
        <v>245</v>
      </c>
      <c r="D64" s="25"/>
      <c r="E64" s="25" t="s">
        <v>244</v>
      </c>
    </row>
    <row r="65" spans="1:5" ht="24.95" customHeight="1" x14ac:dyDescent="0.3">
      <c r="A65" s="22" t="s">
        <v>233</v>
      </c>
      <c r="B65" s="23" t="s">
        <v>246</v>
      </c>
      <c r="C65" s="24" t="s">
        <v>247</v>
      </c>
      <c r="D65" s="25"/>
      <c r="E65" s="25" t="s">
        <v>248</v>
      </c>
    </row>
    <row r="66" spans="1:5" ht="24.95" customHeight="1" x14ac:dyDescent="0.3">
      <c r="A66" s="22" t="s">
        <v>249</v>
      </c>
      <c r="B66" s="23" t="s">
        <v>250</v>
      </c>
      <c r="C66" s="24" t="s">
        <v>251</v>
      </c>
      <c r="D66" s="25"/>
      <c r="E66" s="25"/>
    </row>
    <row r="67" spans="1:5" ht="24.95" customHeight="1" x14ac:dyDescent="0.3">
      <c r="A67" s="22" t="s">
        <v>249</v>
      </c>
      <c r="B67" s="23" t="s">
        <v>252</v>
      </c>
      <c r="C67" s="24" t="s">
        <v>253</v>
      </c>
      <c r="D67" s="25"/>
      <c r="E67" s="25" t="s">
        <v>254</v>
      </c>
    </row>
    <row r="68" spans="1:5" ht="24.95" customHeight="1" x14ac:dyDescent="0.3">
      <c r="A68" s="22" t="s">
        <v>255</v>
      </c>
      <c r="B68" s="23" t="s">
        <v>256</v>
      </c>
      <c r="C68" s="24" t="s">
        <v>253</v>
      </c>
      <c r="D68" s="25"/>
      <c r="E68" s="25"/>
    </row>
    <row r="69" spans="1:5" ht="24.95" customHeight="1" x14ac:dyDescent="0.3">
      <c r="A69" s="22" t="s">
        <v>257</v>
      </c>
      <c r="B69" s="23" t="s">
        <v>258</v>
      </c>
      <c r="C69" s="24" t="s">
        <v>259</v>
      </c>
      <c r="D69" s="25"/>
      <c r="E69" s="25" t="s">
        <v>260</v>
      </c>
    </row>
    <row r="70" spans="1:5" ht="24.95" customHeight="1" x14ac:dyDescent="0.3">
      <c r="A70" s="22" t="s">
        <v>257</v>
      </c>
      <c r="B70" s="23" t="s">
        <v>261</v>
      </c>
      <c r="C70" s="24" t="s">
        <v>262</v>
      </c>
      <c r="D70" s="25"/>
      <c r="E70" s="25"/>
    </row>
    <row r="71" spans="1:5" ht="24.95" customHeight="1" x14ac:dyDescent="0.3">
      <c r="A71" s="22" t="s">
        <v>263</v>
      </c>
      <c r="B71" s="23" t="s">
        <v>264</v>
      </c>
      <c r="C71" s="24" t="s">
        <v>265</v>
      </c>
      <c r="D71" s="25" t="s">
        <v>266</v>
      </c>
      <c r="E71" s="25" t="s">
        <v>267</v>
      </c>
    </row>
    <row r="72" spans="1:5" ht="24.95" customHeight="1" x14ac:dyDescent="0.3">
      <c r="A72" s="22" t="s">
        <v>268</v>
      </c>
      <c r="B72" s="23" t="s">
        <v>269</v>
      </c>
      <c r="C72" s="24" t="s">
        <v>270</v>
      </c>
      <c r="D72" s="25"/>
      <c r="E72" s="25" t="s">
        <v>271</v>
      </c>
    </row>
    <row r="73" spans="1:5" ht="24.95" customHeight="1" x14ac:dyDescent="0.3">
      <c r="A73" s="22" t="s">
        <v>272</v>
      </c>
      <c r="B73" s="29" t="s">
        <v>273</v>
      </c>
      <c r="C73" s="24" t="s">
        <v>274</v>
      </c>
      <c r="D73" s="25"/>
      <c r="E73" s="25"/>
    </row>
    <row r="74" spans="1:5" ht="24.95" customHeight="1" x14ac:dyDescent="0.3">
      <c r="A74" s="22" t="s">
        <v>275</v>
      </c>
      <c r="B74" s="29" t="s">
        <v>276</v>
      </c>
      <c r="C74" s="24" t="s">
        <v>277</v>
      </c>
      <c r="D74" s="25"/>
      <c r="E74" s="25"/>
    </row>
    <row r="75" spans="1:5" ht="24.95" customHeight="1" x14ac:dyDescent="0.3">
      <c r="A75" s="22" t="s">
        <v>268</v>
      </c>
      <c r="B75" s="23" t="s">
        <v>278</v>
      </c>
      <c r="C75" s="24" t="s">
        <v>279</v>
      </c>
      <c r="D75" s="25"/>
      <c r="E75" s="25" t="s">
        <v>280</v>
      </c>
    </row>
    <row r="76" spans="1:5" ht="24.95" customHeight="1" x14ac:dyDescent="0.3">
      <c r="A76" s="22" t="s">
        <v>281</v>
      </c>
      <c r="B76" s="23" t="s">
        <v>282</v>
      </c>
      <c r="C76" s="24" t="s">
        <v>283</v>
      </c>
      <c r="D76" s="25"/>
      <c r="E76" s="25" t="s">
        <v>284</v>
      </c>
    </row>
    <row r="77" spans="1:5" ht="24.95" customHeight="1" x14ac:dyDescent="0.3">
      <c r="A77" s="22" t="s">
        <v>281</v>
      </c>
      <c r="B77" s="23" t="s">
        <v>285</v>
      </c>
      <c r="C77" s="24" t="s">
        <v>286</v>
      </c>
      <c r="D77" s="25"/>
      <c r="E77" s="25"/>
    </row>
    <row r="78" spans="1:5" ht="24.95" customHeight="1" x14ac:dyDescent="0.3">
      <c r="A78" s="22" t="s">
        <v>281</v>
      </c>
      <c r="B78" s="23" t="s">
        <v>287</v>
      </c>
      <c r="C78" s="24" t="s">
        <v>286</v>
      </c>
      <c r="D78" s="25"/>
      <c r="E78" s="25" t="s">
        <v>288</v>
      </c>
    </row>
    <row r="79" spans="1:5" ht="24.95" customHeight="1" x14ac:dyDescent="0.3">
      <c r="A79" s="22" t="s">
        <v>281</v>
      </c>
      <c r="B79" s="23" t="s">
        <v>289</v>
      </c>
      <c r="C79" s="24" t="s">
        <v>286</v>
      </c>
      <c r="D79" s="25"/>
      <c r="E79" s="25" t="s">
        <v>290</v>
      </c>
    </row>
    <row r="80" spans="1:5" ht="24.95" customHeight="1" x14ac:dyDescent="0.3">
      <c r="A80" s="22" t="s">
        <v>281</v>
      </c>
      <c r="B80" s="23" t="s">
        <v>291</v>
      </c>
      <c r="C80" s="24" t="s">
        <v>292</v>
      </c>
      <c r="D80" s="25"/>
      <c r="E80" s="25"/>
    </row>
    <row r="81" spans="1:26" ht="24.95" customHeight="1" x14ac:dyDescent="0.3">
      <c r="A81" s="22" t="s">
        <v>281</v>
      </c>
      <c r="B81" s="23" t="s">
        <v>293</v>
      </c>
      <c r="C81" s="24" t="s">
        <v>294</v>
      </c>
      <c r="D81" s="25"/>
      <c r="E81" s="25" t="s">
        <v>295</v>
      </c>
    </row>
    <row r="82" spans="1:26" ht="24.95" customHeight="1" x14ac:dyDescent="0.3">
      <c r="A82" s="22" t="s">
        <v>296</v>
      </c>
      <c r="B82" s="23" t="s">
        <v>293</v>
      </c>
      <c r="C82" s="24" t="s">
        <v>297</v>
      </c>
      <c r="D82" s="25" t="s">
        <v>298</v>
      </c>
      <c r="E82" s="25" t="s">
        <v>299</v>
      </c>
    </row>
    <row r="83" spans="1:26" ht="24.95" customHeight="1" x14ac:dyDescent="0.3">
      <c r="A83" s="22" t="s">
        <v>300</v>
      </c>
      <c r="B83" s="23" t="s">
        <v>301</v>
      </c>
      <c r="C83" s="24" t="s">
        <v>302</v>
      </c>
      <c r="D83" s="25"/>
      <c r="E83" s="25"/>
    </row>
    <row r="84" spans="1:26" ht="24.95" customHeight="1" x14ac:dyDescent="0.3">
      <c r="A84" s="22" t="s">
        <v>303</v>
      </c>
      <c r="B84" s="23" t="s">
        <v>304</v>
      </c>
      <c r="C84" s="24" t="s">
        <v>305</v>
      </c>
      <c r="D84" s="25" t="s">
        <v>306</v>
      </c>
      <c r="E84" s="25" t="s">
        <v>307</v>
      </c>
    </row>
    <row r="85" spans="1:26" ht="24.95" customHeight="1" x14ac:dyDescent="0.3">
      <c r="A85" s="22" t="s">
        <v>303</v>
      </c>
      <c r="B85" s="23" t="s">
        <v>308</v>
      </c>
      <c r="C85" s="24" t="s">
        <v>309</v>
      </c>
      <c r="D85" s="25" t="s">
        <v>310</v>
      </c>
      <c r="E85" s="25" t="s">
        <v>311</v>
      </c>
    </row>
    <row r="86" spans="1:26" ht="24.95" customHeight="1" x14ac:dyDescent="0.3">
      <c r="A86" s="22" t="s">
        <v>312</v>
      </c>
      <c r="B86" s="23" t="s">
        <v>313</v>
      </c>
      <c r="C86" s="24" t="s">
        <v>314</v>
      </c>
      <c r="D86" s="25"/>
      <c r="E86" s="25" t="s">
        <v>315</v>
      </c>
    </row>
    <row r="87" spans="1:26" ht="24.95" customHeight="1" x14ac:dyDescent="0.3">
      <c r="A87" s="22" t="s">
        <v>312</v>
      </c>
      <c r="B87" s="23" t="s">
        <v>316</v>
      </c>
      <c r="C87" s="24" t="s">
        <v>317</v>
      </c>
      <c r="D87" s="25"/>
      <c r="E87" s="25"/>
    </row>
    <row r="88" spans="1:26" ht="24.95" customHeight="1" x14ac:dyDescent="0.3">
      <c r="A88" s="22" t="s">
        <v>312</v>
      </c>
      <c r="B88" s="23" t="s">
        <v>318</v>
      </c>
      <c r="C88" s="24" t="s">
        <v>319</v>
      </c>
      <c r="D88" s="25"/>
      <c r="E88" s="25"/>
    </row>
    <row r="89" spans="1:26" ht="24.95" customHeight="1" x14ac:dyDescent="0.3">
      <c r="A89" s="22" t="s">
        <v>312</v>
      </c>
      <c r="B89" s="23" t="s">
        <v>320</v>
      </c>
      <c r="C89" s="33" t="s">
        <v>321</v>
      </c>
      <c r="D89" s="25" t="s">
        <v>322</v>
      </c>
      <c r="E89" s="25" t="s">
        <v>323</v>
      </c>
    </row>
    <row r="90" spans="1:26" ht="24.95" customHeight="1" x14ac:dyDescent="0.3">
      <c r="A90" s="22" t="s">
        <v>324</v>
      </c>
      <c r="B90" s="23" t="s">
        <v>325</v>
      </c>
      <c r="C90" s="24" t="s">
        <v>326</v>
      </c>
      <c r="D90" s="25"/>
      <c r="E90" s="25" t="s">
        <v>327</v>
      </c>
    </row>
    <row r="91" spans="1:26" ht="24.95" customHeight="1" x14ac:dyDescent="0.3">
      <c r="A91" s="22" t="s">
        <v>328</v>
      </c>
      <c r="B91" s="23" t="s">
        <v>329</v>
      </c>
      <c r="C91" s="24" t="s">
        <v>330</v>
      </c>
      <c r="D91" s="25"/>
      <c r="E91" s="25" t="s">
        <v>331</v>
      </c>
    </row>
    <row r="92" spans="1:26" ht="24.95" customHeight="1" x14ac:dyDescent="0.3">
      <c r="A92" s="22" t="s">
        <v>332</v>
      </c>
      <c r="B92" s="23" t="s">
        <v>333</v>
      </c>
      <c r="C92" s="74" t="s">
        <v>334</v>
      </c>
      <c r="D92" s="75"/>
      <c r="E92" s="75" t="s">
        <v>335</v>
      </c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spans="1:26" ht="24.95" customHeight="1" x14ac:dyDescent="0.3">
      <c r="A93" s="22" t="s">
        <v>336</v>
      </c>
      <c r="B93" s="23" t="s">
        <v>337</v>
      </c>
      <c r="C93" s="74" t="s">
        <v>338</v>
      </c>
      <c r="D93" s="75"/>
      <c r="E93" s="75" t="s">
        <v>339</v>
      </c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spans="1:26" ht="24.95" customHeight="1" x14ac:dyDescent="0.3">
      <c r="A94" s="22" t="s">
        <v>340</v>
      </c>
      <c r="B94" s="23" t="s">
        <v>341</v>
      </c>
      <c r="C94" s="74" t="s">
        <v>342</v>
      </c>
      <c r="D94" s="75"/>
      <c r="E94" s="75" t="s">
        <v>343</v>
      </c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spans="1:26" ht="24.95" customHeight="1" x14ac:dyDescent="0.3">
      <c r="A95" s="22" t="s">
        <v>344</v>
      </c>
      <c r="B95" s="23" t="s">
        <v>345</v>
      </c>
      <c r="C95" s="32" t="s">
        <v>346</v>
      </c>
      <c r="D95" s="75"/>
      <c r="E95" s="75" t="s">
        <v>347</v>
      </c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spans="1:26" ht="24.95" customHeight="1" x14ac:dyDescent="0.3">
      <c r="A96" s="22" t="s">
        <v>348</v>
      </c>
      <c r="B96" s="23" t="s">
        <v>349</v>
      </c>
      <c r="C96" s="32" t="s">
        <v>350</v>
      </c>
      <c r="D96" s="75"/>
      <c r="E96" s="75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spans="1:26" ht="24.95" customHeight="1" x14ac:dyDescent="0.3">
      <c r="A97" s="22" t="s">
        <v>351</v>
      </c>
      <c r="B97" s="23" t="s">
        <v>352</v>
      </c>
      <c r="C97" s="32" t="s">
        <v>353</v>
      </c>
      <c r="D97" s="75"/>
      <c r="E97" s="75" t="s">
        <v>354</v>
      </c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spans="1:26" ht="24.95" customHeight="1" x14ac:dyDescent="0.3">
      <c r="A98" s="28" t="s">
        <v>355</v>
      </c>
      <c r="B98" s="29" t="s">
        <v>356</v>
      </c>
      <c r="C98" s="32" t="s">
        <v>357</v>
      </c>
      <c r="D98" s="75"/>
      <c r="E98" s="75" t="s">
        <v>358</v>
      </c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spans="1:26" ht="24.95" customHeight="1" x14ac:dyDescent="0.3">
      <c r="A99" s="28" t="s">
        <v>79</v>
      </c>
      <c r="B99" s="29" t="s">
        <v>359</v>
      </c>
      <c r="C99" s="32" t="s">
        <v>360</v>
      </c>
      <c r="D99" s="75"/>
      <c r="E99" s="75" t="s">
        <v>361</v>
      </c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spans="1:26" ht="24.95" customHeight="1" x14ac:dyDescent="0.3">
      <c r="A100" s="28" t="s">
        <v>362</v>
      </c>
      <c r="B100" s="29" t="s">
        <v>363</v>
      </c>
      <c r="C100" s="32" t="s">
        <v>364</v>
      </c>
      <c r="D100" s="75"/>
      <c r="E100" s="75" t="s">
        <v>365</v>
      </c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spans="1:26" ht="24.95" customHeight="1" x14ac:dyDescent="0.3">
      <c r="A101" s="28" t="s">
        <v>52</v>
      </c>
      <c r="B101" s="29" t="s">
        <v>366</v>
      </c>
      <c r="C101" s="74" t="s">
        <v>367</v>
      </c>
      <c r="D101" s="75"/>
      <c r="E101" s="75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spans="1:26" ht="24.95" customHeight="1" x14ac:dyDescent="0.3">
      <c r="A102" s="28" t="s">
        <v>52</v>
      </c>
      <c r="B102" s="29" t="s">
        <v>368</v>
      </c>
      <c r="C102" s="32" t="s">
        <v>369</v>
      </c>
      <c r="D102" s="75"/>
      <c r="E102" s="75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spans="1:26" ht="24.95" customHeight="1" x14ac:dyDescent="0.3">
      <c r="A103" s="28" t="s">
        <v>79</v>
      </c>
      <c r="B103" s="29" t="s">
        <v>370</v>
      </c>
      <c r="C103" s="32" t="s">
        <v>371</v>
      </c>
      <c r="D103" s="75"/>
      <c r="E103" s="75" t="s">
        <v>372</v>
      </c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spans="1:26" ht="24.95" customHeight="1" x14ac:dyDescent="0.3">
      <c r="A104" s="28" t="s">
        <v>233</v>
      </c>
      <c r="B104" s="29" t="s">
        <v>373</v>
      </c>
      <c r="C104" s="32" t="s">
        <v>374</v>
      </c>
      <c r="D104" s="75"/>
      <c r="E104" s="75" t="s">
        <v>375</v>
      </c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spans="1:26" ht="24.95" customHeight="1" x14ac:dyDescent="0.3">
      <c r="A105" s="28" t="s">
        <v>233</v>
      </c>
      <c r="B105" s="29" t="s">
        <v>376</v>
      </c>
      <c r="C105" s="32"/>
      <c r="D105" s="75"/>
      <c r="E105" s="75" t="s">
        <v>375</v>
      </c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spans="1:26" ht="24.95" customHeight="1" x14ac:dyDescent="0.3">
      <c r="A106" s="28" t="s">
        <v>79</v>
      </c>
      <c r="B106" s="29" t="s">
        <v>377</v>
      </c>
      <c r="C106" s="32" t="s">
        <v>378</v>
      </c>
      <c r="D106" s="75"/>
      <c r="E106" s="75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spans="1:26" ht="24.95" customHeight="1" x14ac:dyDescent="0.3">
      <c r="A107" s="28" t="s">
        <v>379</v>
      </c>
      <c r="B107" s="29" t="s">
        <v>380</v>
      </c>
      <c r="C107" s="32" t="s">
        <v>381</v>
      </c>
      <c r="D107" s="75"/>
      <c r="E107" s="75" t="s">
        <v>382</v>
      </c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spans="1:26" ht="24.95" customHeight="1" x14ac:dyDescent="0.3">
      <c r="A108" s="28" t="s">
        <v>79</v>
      </c>
      <c r="B108" s="29" t="s">
        <v>383</v>
      </c>
      <c r="C108" s="74" t="s">
        <v>384</v>
      </c>
      <c r="D108" s="75"/>
      <c r="E108" s="75" t="s">
        <v>98</v>
      </c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spans="1:26" ht="24.95" customHeight="1" x14ac:dyDescent="0.3">
      <c r="A109" s="22" t="s">
        <v>110</v>
      </c>
      <c r="B109" s="23" t="s">
        <v>385</v>
      </c>
      <c r="C109" s="72" t="s">
        <v>386</v>
      </c>
      <c r="D109" s="75"/>
      <c r="E109" s="71" t="s">
        <v>387</v>
      </c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spans="1:26" ht="24.95" customHeight="1" x14ac:dyDescent="0.3">
      <c r="A110" s="28" t="s">
        <v>388</v>
      </c>
      <c r="B110" s="23" t="s">
        <v>389</v>
      </c>
      <c r="C110" s="32" t="s">
        <v>390</v>
      </c>
      <c r="D110" s="75"/>
      <c r="E110" s="75" t="s">
        <v>391</v>
      </c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spans="1:26" ht="24.95" customHeight="1" x14ac:dyDescent="0.3">
      <c r="A111" s="28" t="s">
        <v>63</v>
      </c>
      <c r="B111" s="29" t="s">
        <v>392</v>
      </c>
      <c r="C111" s="74" t="s">
        <v>393</v>
      </c>
      <c r="D111" s="75"/>
      <c r="E111" s="75" t="s">
        <v>394</v>
      </c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spans="1:26" ht="24.95" customHeight="1" x14ac:dyDescent="0.3">
      <c r="A112" s="28" t="s">
        <v>103</v>
      </c>
      <c r="B112" s="29" t="s">
        <v>395</v>
      </c>
      <c r="C112" s="74" t="s">
        <v>396</v>
      </c>
      <c r="D112" s="75"/>
      <c r="E112" s="75" t="s">
        <v>397</v>
      </c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spans="1:26" ht="24.95" customHeight="1" x14ac:dyDescent="0.3">
      <c r="A113" s="28" t="s">
        <v>103</v>
      </c>
      <c r="B113" s="29" t="s">
        <v>398</v>
      </c>
      <c r="C113" s="32" t="s">
        <v>399</v>
      </c>
      <c r="D113" s="75"/>
      <c r="E113" s="75" t="s">
        <v>397</v>
      </c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spans="1:26" ht="24.95" customHeight="1" x14ac:dyDescent="0.3">
      <c r="A114" s="28" t="s">
        <v>400</v>
      </c>
      <c r="B114" s="29" t="s">
        <v>401</v>
      </c>
      <c r="C114" s="32" t="s">
        <v>402</v>
      </c>
      <c r="D114" s="75"/>
      <c r="E114" s="75" t="s">
        <v>403</v>
      </c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spans="1:26" ht="24.95" customHeight="1" x14ac:dyDescent="0.3">
      <c r="A115" s="28" t="s">
        <v>351</v>
      </c>
      <c r="B115" s="29" t="s">
        <v>404</v>
      </c>
      <c r="C115" s="70" t="s">
        <v>405</v>
      </c>
      <c r="D115" s="75"/>
      <c r="E115" s="75" t="s">
        <v>406</v>
      </c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spans="1:26" ht="24.95" customHeight="1" x14ac:dyDescent="0.3">
      <c r="A116" s="28" t="s">
        <v>63</v>
      </c>
      <c r="B116" s="29" t="s">
        <v>407</v>
      </c>
      <c r="C116" s="32" t="s">
        <v>408</v>
      </c>
      <c r="D116" s="75"/>
      <c r="E116" s="75" t="s">
        <v>409</v>
      </c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spans="1:26" ht="24.95" customHeight="1" x14ac:dyDescent="0.3">
      <c r="A117" s="28" t="s">
        <v>268</v>
      </c>
      <c r="B117" s="23" t="s">
        <v>410</v>
      </c>
      <c r="C117" s="32" t="s">
        <v>274</v>
      </c>
      <c r="D117" s="75"/>
      <c r="E117" s="75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spans="1:26" ht="24.95" customHeight="1" x14ac:dyDescent="0.3">
      <c r="A118" s="28" t="s">
        <v>255</v>
      </c>
      <c r="B118" s="29" t="s">
        <v>411</v>
      </c>
      <c r="C118" s="69" t="s">
        <v>412</v>
      </c>
      <c r="D118" s="75"/>
      <c r="E118" s="75" t="s">
        <v>413</v>
      </c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spans="1:26" ht="24.95" customHeight="1" x14ac:dyDescent="0.3">
      <c r="A119" s="28" t="s">
        <v>79</v>
      </c>
      <c r="B119" s="29" t="s">
        <v>414</v>
      </c>
      <c r="C119" s="32" t="s">
        <v>378</v>
      </c>
      <c r="D119" s="75"/>
      <c r="E119" s="75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spans="1:26" ht="24.95" customHeight="1" x14ac:dyDescent="0.3">
      <c r="A120" s="22" t="s">
        <v>230</v>
      </c>
      <c r="B120" s="29" t="s">
        <v>415</v>
      </c>
      <c r="C120" s="32" t="s">
        <v>416</v>
      </c>
      <c r="D120" s="75"/>
      <c r="E120" s="75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spans="1:26" ht="24.95" customHeight="1" x14ac:dyDescent="0.3">
      <c r="A121" s="28" t="s">
        <v>417</v>
      </c>
      <c r="B121" s="29" t="s">
        <v>418</v>
      </c>
      <c r="C121" s="32" t="s">
        <v>419</v>
      </c>
      <c r="D121" s="76"/>
      <c r="E121" s="75" t="s">
        <v>420</v>
      </c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spans="1:26" ht="24.95" customHeight="1" x14ac:dyDescent="0.3">
      <c r="A122" s="28" t="s">
        <v>171</v>
      </c>
      <c r="B122" s="29" t="s">
        <v>421</v>
      </c>
      <c r="C122" s="32" t="s">
        <v>193</v>
      </c>
      <c r="D122" s="75"/>
      <c r="E122" s="75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spans="1:26" ht="24.95" customHeight="1" x14ac:dyDescent="0.3">
      <c r="A123" s="28" t="s">
        <v>422</v>
      </c>
      <c r="B123" s="29" t="s">
        <v>423</v>
      </c>
      <c r="C123" s="32" t="s">
        <v>424</v>
      </c>
      <c r="D123" s="75"/>
      <c r="E123" s="75" t="s">
        <v>425</v>
      </c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spans="1:26" ht="24.95" customHeight="1" x14ac:dyDescent="0.3">
      <c r="A124" s="22" t="s">
        <v>426</v>
      </c>
      <c r="B124" s="23" t="s">
        <v>427</v>
      </c>
      <c r="C124" s="24"/>
      <c r="D124" s="25"/>
      <c r="E124" s="25"/>
    </row>
    <row r="125" spans="1:26" ht="24.95" customHeight="1" x14ac:dyDescent="0.3">
      <c r="A125" s="22" t="s">
        <v>428</v>
      </c>
      <c r="B125" s="23" t="s">
        <v>429</v>
      </c>
      <c r="C125" s="24" t="s">
        <v>430</v>
      </c>
      <c r="D125" s="25"/>
      <c r="E125" s="25">
        <v>1085109801</v>
      </c>
    </row>
    <row r="126" spans="1:26" ht="24.95" customHeight="1" x14ac:dyDescent="0.3">
      <c r="A126" s="22" t="s">
        <v>426</v>
      </c>
      <c r="B126" s="23" t="s">
        <v>431</v>
      </c>
      <c r="C126" s="24" t="s">
        <v>432</v>
      </c>
      <c r="D126" s="25"/>
      <c r="E126" s="25"/>
    </row>
    <row r="127" spans="1:26" ht="24.95" customHeight="1" x14ac:dyDescent="0.3">
      <c r="A127" s="22" t="s">
        <v>433</v>
      </c>
      <c r="B127" s="23" t="s">
        <v>434</v>
      </c>
      <c r="C127" s="24" t="s">
        <v>435</v>
      </c>
      <c r="D127" s="25"/>
      <c r="E127" s="25"/>
    </row>
    <row r="128" spans="1:26" ht="24.95" customHeight="1" x14ac:dyDescent="0.3">
      <c r="A128" s="22" t="s">
        <v>436</v>
      </c>
      <c r="B128" s="23" t="s">
        <v>437</v>
      </c>
      <c r="C128" s="24" t="s">
        <v>438</v>
      </c>
      <c r="D128" s="25"/>
      <c r="E128" s="25"/>
    </row>
    <row r="129" spans="1:5" ht="24.95" customHeight="1" x14ac:dyDescent="0.3">
      <c r="A129" s="22" t="s">
        <v>439</v>
      </c>
      <c r="B129" s="23" t="s">
        <v>440</v>
      </c>
      <c r="C129" s="24" t="s">
        <v>441</v>
      </c>
      <c r="D129" s="25"/>
      <c r="E129" s="25"/>
    </row>
    <row r="130" spans="1:5" ht="24.95" customHeight="1" x14ac:dyDescent="0.3">
      <c r="A130" s="22" t="s">
        <v>426</v>
      </c>
      <c r="B130" s="23" t="s">
        <v>442</v>
      </c>
      <c r="C130" s="24" t="s">
        <v>432</v>
      </c>
      <c r="D130" s="25"/>
      <c r="E130" s="25"/>
    </row>
    <row r="131" spans="1:5" ht="24.95" customHeight="1" x14ac:dyDescent="0.3">
      <c r="A131" s="22" t="s">
        <v>443</v>
      </c>
      <c r="B131" s="23" t="s">
        <v>444</v>
      </c>
      <c r="C131" s="24" t="s">
        <v>445</v>
      </c>
      <c r="D131" s="25" t="s">
        <v>446</v>
      </c>
      <c r="E131" s="25">
        <v>1031370647</v>
      </c>
    </row>
    <row r="132" spans="1:5" ht="24.95" customHeight="1" x14ac:dyDescent="0.3">
      <c r="A132" s="22" t="s">
        <v>447</v>
      </c>
      <c r="B132" s="23" t="s">
        <v>448</v>
      </c>
      <c r="C132" s="24"/>
      <c r="D132" s="25"/>
      <c r="E132" s="25"/>
    </row>
    <row r="133" spans="1:5" ht="24.95" customHeight="1" x14ac:dyDescent="0.3">
      <c r="A133" s="22" t="s">
        <v>447</v>
      </c>
      <c r="B133" s="23" t="s">
        <v>449</v>
      </c>
      <c r="C133" s="24" t="s">
        <v>450</v>
      </c>
      <c r="D133" s="25"/>
      <c r="E133" s="25"/>
    </row>
    <row r="134" spans="1:5" ht="24.95" customHeight="1" x14ac:dyDescent="0.3">
      <c r="A134" s="22" t="s">
        <v>451</v>
      </c>
      <c r="B134" s="23" t="s">
        <v>452</v>
      </c>
      <c r="C134" s="24" t="s">
        <v>453</v>
      </c>
      <c r="D134" s="25" t="s">
        <v>454</v>
      </c>
      <c r="E134" s="31">
        <v>1052508410</v>
      </c>
    </row>
    <row r="135" spans="1:5" ht="24.95" customHeight="1" x14ac:dyDescent="0.3">
      <c r="A135" s="22" t="s">
        <v>455</v>
      </c>
      <c r="B135" s="23" t="s">
        <v>456</v>
      </c>
      <c r="C135" s="24" t="s">
        <v>457</v>
      </c>
      <c r="D135" s="25"/>
      <c r="E135" s="25" t="s">
        <v>458</v>
      </c>
    </row>
    <row r="136" spans="1:5" ht="24.95" customHeight="1" x14ac:dyDescent="0.3">
      <c r="A136" s="22" t="s">
        <v>459</v>
      </c>
      <c r="B136" s="23" t="s">
        <v>460</v>
      </c>
      <c r="C136" s="24" t="s">
        <v>461</v>
      </c>
      <c r="D136" s="25"/>
      <c r="E136" s="25" t="s">
        <v>462</v>
      </c>
    </row>
    <row r="137" spans="1:5" ht="24.95" customHeight="1" x14ac:dyDescent="0.3">
      <c r="A137" s="22" t="s">
        <v>463</v>
      </c>
      <c r="B137" s="23" t="s">
        <v>464</v>
      </c>
      <c r="C137" s="24" t="s">
        <v>465</v>
      </c>
      <c r="D137" s="25"/>
      <c r="E137" s="25" t="s">
        <v>466</v>
      </c>
    </row>
    <row r="138" spans="1:5" ht="24.95" customHeight="1" x14ac:dyDescent="0.3">
      <c r="A138" s="22" t="s">
        <v>33</v>
      </c>
      <c r="B138" s="23" t="s">
        <v>467</v>
      </c>
      <c r="C138" s="24" t="s">
        <v>468</v>
      </c>
      <c r="D138" s="25" t="s">
        <v>469</v>
      </c>
      <c r="E138" s="25" t="s">
        <v>470</v>
      </c>
    </row>
    <row r="139" spans="1:5" ht="24.95" customHeight="1" x14ac:dyDescent="0.3">
      <c r="A139" s="22" t="s">
        <v>471</v>
      </c>
      <c r="B139" s="23" t="s">
        <v>472</v>
      </c>
      <c r="C139" s="17" t="s">
        <v>473</v>
      </c>
      <c r="D139" s="25"/>
      <c r="E139" s="25" t="s">
        <v>474</v>
      </c>
    </row>
    <row r="140" spans="1:5" ht="24.95" customHeight="1" x14ac:dyDescent="0.3">
      <c r="A140" s="22" t="s">
        <v>475</v>
      </c>
      <c r="B140" s="23" t="s">
        <v>476</v>
      </c>
      <c r="C140" s="24" t="s">
        <v>477</v>
      </c>
      <c r="D140" s="25"/>
      <c r="E140" s="25" t="s">
        <v>478</v>
      </c>
    </row>
    <row r="141" spans="1:5" ht="24.95" customHeight="1" x14ac:dyDescent="0.3">
      <c r="A141" s="22" t="s">
        <v>433</v>
      </c>
      <c r="B141" s="23" t="s">
        <v>479</v>
      </c>
      <c r="C141" s="24" t="s">
        <v>480</v>
      </c>
      <c r="D141" s="25" t="s">
        <v>481</v>
      </c>
      <c r="E141" s="25">
        <v>1050232904</v>
      </c>
    </row>
    <row r="142" spans="1:5" ht="24.95" customHeight="1" x14ac:dyDescent="0.3">
      <c r="A142" s="22" t="s">
        <v>451</v>
      </c>
      <c r="B142" s="23" t="s">
        <v>482</v>
      </c>
      <c r="C142" s="24" t="s">
        <v>483</v>
      </c>
      <c r="D142" s="25"/>
      <c r="E142" s="25" t="s">
        <v>484</v>
      </c>
    </row>
    <row r="143" spans="1:5" ht="24.95" customHeight="1" x14ac:dyDescent="0.3">
      <c r="A143" s="22" t="s">
        <v>27</v>
      </c>
      <c r="B143" s="23" t="s">
        <v>485</v>
      </c>
      <c r="C143" s="24" t="s">
        <v>486</v>
      </c>
      <c r="D143" s="25"/>
      <c r="E143" s="25" t="s">
        <v>487</v>
      </c>
    </row>
    <row r="144" spans="1:5" ht="24.95" customHeight="1" x14ac:dyDescent="0.3">
      <c r="A144" s="22" t="s">
        <v>463</v>
      </c>
      <c r="B144" s="23" t="s">
        <v>488</v>
      </c>
      <c r="C144" s="24" t="s">
        <v>489</v>
      </c>
      <c r="D144" s="25"/>
      <c r="E144" s="25" t="s">
        <v>490</v>
      </c>
    </row>
    <row r="145" spans="1:5" ht="24.95" customHeight="1" x14ac:dyDescent="0.3">
      <c r="A145" s="22" t="s">
        <v>37</v>
      </c>
      <c r="B145" s="23" t="s">
        <v>491</v>
      </c>
      <c r="C145" s="80" t="s">
        <v>492</v>
      </c>
      <c r="D145" s="25"/>
      <c r="E145" s="25" t="s">
        <v>493</v>
      </c>
    </row>
    <row r="146" spans="1:5" ht="24.95" customHeight="1" x14ac:dyDescent="0.3">
      <c r="A146" s="22" t="s">
        <v>494</v>
      </c>
      <c r="B146" s="23" t="s">
        <v>495</v>
      </c>
      <c r="C146" s="24" t="s">
        <v>496</v>
      </c>
      <c r="D146" s="25"/>
      <c r="E146" s="31" t="s">
        <v>497</v>
      </c>
    </row>
    <row r="147" spans="1:5" ht="24.95" customHeight="1" x14ac:dyDescent="0.3">
      <c r="A147" s="22" t="s">
        <v>498</v>
      </c>
      <c r="B147" s="23" t="s">
        <v>499</v>
      </c>
      <c r="C147" s="24" t="s">
        <v>500</v>
      </c>
      <c r="D147" s="25"/>
      <c r="E147" s="25" t="s">
        <v>501</v>
      </c>
    </row>
    <row r="148" spans="1:5" ht="24.95" customHeight="1" x14ac:dyDescent="0.3">
      <c r="A148" s="22" t="s">
        <v>502</v>
      </c>
      <c r="B148" s="23" t="s">
        <v>503</v>
      </c>
      <c r="C148" s="24" t="s">
        <v>504</v>
      </c>
      <c r="D148" s="25"/>
      <c r="E148" s="25" t="s">
        <v>505</v>
      </c>
    </row>
    <row r="149" spans="1:5" ht="24.95" customHeight="1" x14ac:dyDescent="0.3">
      <c r="A149" s="22" t="s">
        <v>29</v>
      </c>
      <c r="B149" s="23" t="s">
        <v>506</v>
      </c>
      <c r="C149" s="24" t="s">
        <v>507</v>
      </c>
      <c r="D149" s="25"/>
      <c r="E149" s="25" t="s">
        <v>508</v>
      </c>
    </row>
    <row r="150" spans="1:5" ht="24.95" customHeight="1" x14ac:dyDescent="0.3">
      <c r="A150" s="22" t="s">
        <v>509</v>
      </c>
      <c r="B150" s="23" t="s">
        <v>510</v>
      </c>
      <c r="C150" s="24" t="s">
        <v>511</v>
      </c>
      <c r="D150" s="25"/>
      <c r="E150" s="25" t="s">
        <v>512</v>
      </c>
    </row>
    <row r="151" spans="1:5" ht="24.95" customHeight="1" x14ac:dyDescent="0.3">
      <c r="A151" s="22" t="s">
        <v>433</v>
      </c>
      <c r="B151" s="23" t="s">
        <v>513</v>
      </c>
      <c r="C151" s="24" t="s">
        <v>514</v>
      </c>
      <c r="D151" s="25"/>
      <c r="E151" s="25"/>
    </row>
    <row r="152" spans="1:5" ht="24.95" customHeight="1" x14ac:dyDescent="0.3">
      <c r="A152" s="22" t="s">
        <v>515</v>
      </c>
      <c r="B152" s="23" t="s">
        <v>515</v>
      </c>
      <c r="C152" s="24" t="s">
        <v>516</v>
      </c>
      <c r="D152" s="25"/>
      <c r="E152" s="25">
        <v>1035583227</v>
      </c>
    </row>
    <row r="153" spans="1:5" ht="24.95" customHeight="1" x14ac:dyDescent="0.3">
      <c r="A153" s="22" t="s">
        <v>517</v>
      </c>
      <c r="B153" s="23" t="s">
        <v>518</v>
      </c>
      <c r="C153" s="24" t="s">
        <v>519</v>
      </c>
      <c r="D153" s="25" t="s">
        <v>520</v>
      </c>
      <c r="E153" s="25">
        <v>1088835565</v>
      </c>
    </row>
    <row r="154" spans="1:5" ht="24.95" customHeight="1" x14ac:dyDescent="0.3">
      <c r="A154" s="22" t="s">
        <v>521</v>
      </c>
      <c r="B154" s="23" t="s">
        <v>522</v>
      </c>
      <c r="C154" s="24" t="s">
        <v>523</v>
      </c>
      <c r="D154" s="25" t="s">
        <v>524</v>
      </c>
      <c r="E154" s="25">
        <v>1048442839</v>
      </c>
    </row>
    <row r="155" spans="1:5" ht="24.95" customHeight="1" x14ac:dyDescent="0.3">
      <c r="A155" s="22" t="s">
        <v>525</v>
      </c>
      <c r="B155" s="23" t="s">
        <v>526</v>
      </c>
      <c r="C155" s="24" t="s">
        <v>527</v>
      </c>
      <c r="D155" s="25"/>
      <c r="E155" s="25" t="s">
        <v>528</v>
      </c>
    </row>
    <row r="156" spans="1:5" ht="24.95" customHeight="1" x14ac:dyDescent="0.3">
      <c r="A156" s="22" t="s">
        <v>29</v>
      </c>
      <c r="B156" s="23" t="s">
        <v>529</v>
      </c>
      <c r="C156" s="24" t="s">
        <v>530</v>
      </c>
      <c r="D156" s="25" t="s">
        <v>531</v>
      </c>
      <c r="E156" s="25" t="s">
        <v>532</v>
      </c>
    </row>
    <row r="157" spans="1:5" ht="24.95" customHeight="1" x14ac:dyDescent="0.3">
      <c r="A157" s="22" t="s">
        <v>533</v>
      </c>
      <c r="B157" s="23" t="s">
        <v>534</v>
      </c>
      <c r="C157" s="24" t="s">
        <v>535</v>
      </c>
      <c r="D157" s="25" t="s">
        <v>536</v>
      </c>
      <c r="E157" s="25" t="s">
        <v>537</v>
      </c>
    </row>
    <row r="158" spans="1:5" ht="24.95" customHeight="1" x14ac:dyDescent="0.3">
      <c r="A158" s="22" t="s">
        <v>433</v>
      </c>
      <c r="B158" s="23" t="s">
        <v>538</v>
      </c>
      <c r="C158" s="24" t="s">
        <v>539</v>
      </c>
      <c r="D158" s="25" t="s">
        <v>540</v>
      </c>
      <c r="E158" s="25" t="s">
        <v>541</v>
      </c>
    </row>
    <row r="159" spans="1:5" ht="24.95" customHeight="1" x14ac:dyDescent="0.3">
      <c r="A159" s="22" t="s">
        <v>542</v>
      </c>
      <c r="B159" s="23" t="s">
        <v>543</v>
      </c>
      <c r="C159" s="24" t="s">
        <v>544</v>
      </c>
      <c r="D159" s="25" t="s">
        <v>545</v>
      </c>
      <c r="E159" s="25" t="s">
        <v>546</v>
      </c>
    </row>
    <row r="160" spans="1:5" ht="24.95" customHeight="1" x14ac:dyDescent="0.3">
      <c r="A160" s="22"/>
      <c r="B160" s="23"/>
      <c r="C160" s="24"/>
      <c r="D160" s="25"/>
      <c r="E160" s="25"/>
    </row>
    <row r="161" spans="1:5" ht="24.95" customHeight="1" x14ac:dyDescent="0.3">
      <c r="A161" s="22"/>
      <c r="B161" s="23"/>
      <c r="C161" s="24"/>
      <c r="D161" s="25"/>
      <c r="E161" s="25"/>
    </row>
    <row r="162" spans="1:5" ht="24.95" customHeight="1" x14ac:dyDescent="0.3">
      <c r="A162" s="22"/>
      <c r="B162" s="23"/>
      <c r="C162" s="24"/>
      <c r="D162" s="25"/>
      <c r="E162" s="25"/>
    </row>
    <row r="163" spans="1:5" ht="24.95" customHeight="1" x14ac:dyDescent="0.3">
      <c r="A163" s="22"/>
      <c r="B163" s="23"/>
      <c r="C163" s="24"/>
      <c r="D163" s="25"/>
      <c r="E163" s="25"/>
    </row>
    <row r="164" spans="1:5" ht="24.95" customHeight="1" x14ac:dyDescent="0.3">
      <c r="A164" s="22"/>
      <c r="B164" s="23"/>
      <c r="C164" s="24"/>
      <c r="D164" s="25"/>
      <c r="E164" s="25"/>
    </row>
    <row r="165" spans="1:5" ht="24.95" customHeight="1" x14ac:dyDescent="0.3">
      <c r="A165" s="22"/>
      <c r="B165" s="23"/>
      <c r="C165" s="24"/>
      <c r="D165" s="25"/>
      <c r="E165" s="25"/>
    </row>
    <row r="166" spans="1:5" ht="24.95" customHeight="1" x14ac:dyDescent="0.3">
      <c r="A166" s="22"/>
      <c r="B166" s="23"/>
      <c r="C166" s="24"/>
      <c r="D166" s="25"/>
      <c r="E166" s="25"/>
    </row>
    <row r="167" spans="1:5" ht="24.95" customHeight="1" x14ac:dyDescent="0.3">
      <c r="A167" s="22"/>
      <c r="B167" s="23"/>
      <c r="C167" s="24"/>
      <c r="D167" s="25"/>
      <c r="E167" s="25"/>
    </row>
    <row r="168" spans="1:5" ht="24.95" customHeight="1" x14ac:dyDescent="0.3">
      <c r="A168" s="22"/>
      <c r="B168" s="23"/>
      <c r="C168" s="24"/>
      <c r="D168" s="25"/>
      <c r="E168" s="25"/>
    </row>
    <row r="169" spans="1:5" ht="24.95" customHeight="1" x14ac:dyDescent="0.3">
      <c r="A169" s="22"/>
      <c r="B169" s="23"/>
      <c r="C169" s="24"/>
      <c r="D169" s="25"/>
      <c r="E169" s="25"/>
    </row>
    <row r="170" spans="1:5" ht="24.95" customHeight="1" x14ac:dyDescent="0.3">
      <c r="A170" s="22"/>
      <c r="B170" s="23"/>
      <c r="C170" s="24"/>
      <c r="D170" s="25"/>
      <c r="E170" s="25"/>
    </row>
    <row r="171" spans="1:5" ht="24.95" customHeight="1" x14ac:dyDescent="0.3">
      <c r="A171" s="22"/>
      <c r="B171" s="23"/>
      <c r="C171" s="24"/>
      <c r="D171" s="25"/>
      <c r="E171" s="25"/>
    </row>
    <row r="172" spans="1:5" ht="24.95" customHeight="1" x14ac:dyDescent="0.3">
      <c r="A172" s="22"/>
      <c r="B172" s="23"/>
      <c r="C172" s="24"/>
      <c r="D172" s="25"/>
      <c r="E172" s="25"/>
    </row>
    <row r="173" spans="1:5" ht="24.95" customHeight="1" x14ac:dyDescent="0.3">
      <c r="A173" s="22"/>
      <c r="B173" s="23"/>
      <c r="C173" s="24"/>
      <c r="D173" s="25"/>
      <c r="E173" s="25"/>
    </row>
    <row r="174" spans="1:5" ht="24.95" customHeight="1" x14ac:dyDescent="0.3">
      <c r="A174" s="22"/>
      <c r="B174" s="23"/>
      <c r="C174" s="24"/>
      <c r="D174" s="25"/>
      <c r="E174" s="25"/>
    </row>
    <row r="175" spans="1:5" ht="24.95" customHeight="1" x14ac:dyDescent="0.3">
      <c r="A175" s="22"/>
      <c r="B175" s="23"/>
      <c r="C175" s="24"/>
      <c r="D175" s="25"/>
      <c r="E175" s="25"/>
    </row>
    <row r="176" spans="1:5" ht="24.95" customHeight="1" x14ac:dyDescent="0.3">
      <c r="A176" s="22"/>
      <c r="B176" s="23"/>
      <c r="C176" s="24"/>
      <c r="D176" s="25"/>
      <c r="E176" s="25"/>
    </row>
    <row r="177" spans="1:5" ht="24.95" customHeight="1" x14ac:dyDescent="0.3">
      <c r="A177" s="22"/>
      <c r="B177" s="23"/>
      <c r="C177" s="24"/>
      <c r="D177" s="25"/>
      <c r="E177" s="25"/>
    </row>
    <row r="178" spans="1:5" ht="24.95" customHeight="1" x14ac:dyDescent="0.3">
      <c r="A178" s="22"/>
      <c r="B178" s="23"/>
      <c r="C178" s="24"/>
      <c r="D178" s="25"/>
      <c r="E178" s="25"/>
    </row>
    <row r="179" spans="1:5" ht="24.95" customHeight="1" x14ac:dyDescent="0.3">
      <c r="A179" s="22"/>
      <c r="B179" s="23"/>
      <c r="C179" s="24"/>
      <c r="D179" s="25"/>
      <c r="E179" s="25"/>
    </row>
    <row r="180" spans="1:5" ht="24.95" customHeight="1" x14ac:dyDescent="0.3">
      <c r="A180" s="22"/>
      <c r="B180" s="23"/>
      <c r="C180" s="24"/>
      <c r="D180" s="25"/>
      <c r="E180" s="25"/>
    </row>
    <row r="181" spans="1:5" ht="24.95" customHeight="1" x14ac:dyDescent="0.3">
      <c r="A181" s="22"/>
      <c r="B181" s="23"/>
      <c r="C181" s="24"/>
      <c r="D181" s="25"/>
      <c r="E181" s="25"/>
    </row>
    <row r="182" spans="1:5" ht="24.95" customHeight="1" x14ac:dyDescent="0.3">
      <c r="A182" s="22"/>
      <c r="B182" s="23"/>
      <c r="C182" s="24"/>
      <c r="D182" s="25"/>
      <c r="E182" s="25"/>
    </row>
    <row r="183" spans="1:5" ht="24.95" customHeight="1" x14ac:dyDescent="0.3">
      <c r="A183" s="22"/>
      <c r="B183" s="23"/>
      <c r="C183" s="24"/>
      <c r="D183" s="25"/>
      <c r="E183" s="25"/>
    </row>
    <row r="184" spans="1:5" ht="24.95" customHeight="1" x14ac:dyDescent="0.3">
      <c r="A184" s="22"/>
      <c r="B184" s="23"/>
      <c r="C184" s="24"/>
      <c r="D184" s="25"/>
      <c r="E184" s="25"/>
    </row>
    <row r="185" spans="1:5" ht="24.95" customHeight="1" x14ac:dyDescent="0.3">
      <c r="A185" s="22"/>
      <c r="B185" s="23"/>
      <c r="C185" s="24"/>
      <c r="D185" s="25"/>
      <c r="E185" s="25"/>
    </row>
    <row r="186" spans="1:5" ht="24.95" customHeight="1" x14ac:dyDescent="0.3">
      <c r="A186" s="22"/>
      <c r="B186" s="23"/>
      <c r="C186" s="24"/>
      <c r="D186" s="25"/>
      <c r="E186" s="25"/>
    </row>
    <row r="187" spans="1:5" ht="24.95" customHeight="1" x14ac:dyDescent="0.3">
      <c r="A187" s="22"/>
      <c r="B187" s="23"/>
      <c r="C187" s="24"/>
      <c r="D187" s="25"/>
      <c r="E187" s="25"/>
    </row>
    <row r="188" spans="1:5" ht="24.95" customHeight="1" x14ac:dyDescent="0.3">
      <c r="A188" s="22"/>
      <c r="B188" s="23"/>
      <c r="C188" s="24"/>
      <c r="D188" s="25"/>
      <c r="E188" s="25"/>
    </row>
    <row r="189" spans="1:5" ht="24.95" customHeight="1" x14ac:dyDescent="0.3">
      <c r="A189" s="22"/>
      <c r="B189" s="23"/>
      <c r="C189" s="24"/>
      <c r="D189" s="25"/>
      <c r="E189" s="25"/>
    </row>
    <row r="190" spans="1:5" ht="24.95" customHeight="1" x14ac:dyDescent="0.3">
      <c r="A190" s="22"/>
      <c r="B190" s="23"/>
      <c r="C190" s="24"/>
      <c r="D190" s="25"/>
      <c r="E190" s="25"/>
    </row>
    <row r="191" spans="1:5" ht="24.95" customHeight="1" x14ac:dyDescent="0.3">
      <c r="A191" s="22"/>
      <c r="B191" s="23"/>
      <c r="C191" s="24"/>
      <c r="D191" s="25"/>
      <c r="E191" s="25"/>
    </row>
    <row r="192" spans="1:5" ht="24.95" customHeight="1" x14ac:dyDescent="0.3">
      <c r="A192" s="22"/>
      <c r="B192" s="23"/>
      <c r="C192" s="24"/>
      <c r="D192" s="25"/>
      <c r="E192" s="25"/>
    </row>
    <row r="193" spans="1:5" ht="24.95" customHeight="1" x14ac:dyDescent="0.3">
      <c r="A193" s="22"/>
      <c r="B193" s="23"/>
      <c r="C193" s="24"/>
      <c r="D193" s="25"/>
      <c r="E193" s="25"/>
    </row>
    <row r="194" spans="1:5" ht="24.95" customHeight="1" x14ac:dyDescent="0.3">
      <c r="A194" s="22"/>
      <c r="B194" s="23"/>
      <c r="C194" s="24"/>
      <c r="D194" s="25"/>
      <c r="E194" s="25"/>
    </row>
    <row r="195" spans="1:5" ht="24.95" customHeight="1" x14ac:dyDescent="0.3">
      <c r="A195" s="22"/>
      <c r="B195" s="23"/>
      <c r="C195" s="24"/>
      <c r="D195" s="25"/>
      <c r="E195" s="25"/>
    </row>
    <row r="196" spans="1:5" ht="24.95" customHeight="1" x14ac:dyDescent="0.3">
      <c r="A196" s="22"/>
      <c r="B196" s="23"/>
      <c r="C196" s="24"/>
      <c r="D196" s="25"/>
      <c r="E196" s="25"/>
    </row>
    <row r="197" spans="1:5" ht="24.95" customHeight="1" x14ac:dyDescent="0.3">
      <c r="A197" s="22"/>
      <c r="B197" s="23"/>
      <c r="C197" s="24"/>
      <c r="D197" s="25"/>
      <c r="E197" s="25"/>
    </row>
    <row r="198" spans="1:5" ht="24.95" customHeight="1" x14ac:dyDescent="0.3">
      <c r="A198" s="22"/>
      <c r="B198" s="23"/>
      <c r="C198" s="24"/>
      <c r="D198" s="25"/>
      <c r="E198" s="25"/>
    </row>
    <row r="199" spans="1:5" ht="24.95" customHeight="1" x14ac:dyDescent="0.3">
      <c r="A199" s="22"/>
      <c r="B199" s="23"/>
      <c r="C199" s="24"/>
      <c r="D199" s="25"/>
      <c r="E199" s="25"/>
    </row>
    <row r="200" spans="1:5" ht="24.95" customHeight="1" x14ac:dyDescent="0.3">
      <c r="A200" s="22"/>
      <c r="B200" s="23"/>
      <c r="C200" s="24"/>
      <c r="D200" s="25"/>
      <c r="E200" s="25"/>
    </row>
    <row r="201" spans="1:5" ht="24.95" customHeight="1" x14ac:dyDescent="0.3">
      <c r="A201" s="22"/>
      <c r="B201" s="23"/>
      <c r="C201" s="24"/>
      <c r="D201" s="25"/>
      <c r="E201" s="25"/>
    </row>
    <row r="202" spans="1:5" ht="24.95" customHeight="1" x14ac:dyDescent="0.3">
      <c r="A202" s="22"/>
      <c r="B202" s="23"/>
      <c r="C202" s="24"/>
      <c r="D202" s="25"/>
      <c r="E202" s="25"/>
    </row>
    <row r="203" spans="1:5" ht="24.95" customHeight="1" x14ac:dyDescent="0.3">
      <c r="A203" s="22"/>
      <c r="B203" s="23"/>
      <c r="C203" s="24"/>
      <c r="D203" s="25"/>
      <c r="E203" s="25"/>
    </row>
    <row r="204" spans="1:5" ht="24.95" customHeight="1" x14ac:dyDescent="0.3">
      <c r="A204" s="22"/>
      <c r="B204" s="23"/>
      <c r="C204" s="24"/>
      <c r="D204" s="25"/>
      <c r="E204" s="25"/>
    </row>
    <row r="205" spans="1:5" ht="24.95" customHeight="1" x14ac:dyDescent="0.3">
      <c r="A205" s="22"/>
      <c r="B205" s="23"/>
      <c r="C205" s="24"/>
      <c r="D205" s="25"/>
      <c r="E205" s="25"/>
    </row>
    <row r="206" spans="1:5" ht="24.95" customHeight="1" x14ac:dyDescent="0.3">
      <c r="A206" s="22"/>
      <c r="B206" s="23"/>
      <c r="C206" s="24"/>
      <c r="D206" s="25"/>
      <c r="E206" s="25"/>
    </row>
    <row r="207" spans="1:5" ht="24.95" customHeight="1" x14ac:dyDescent="0.3">
      <c r="A207" s="22"/>
      <c r="B207" s="23"/>
      <c r="C207" s="24"/>
      <c r="D207" s="25"/>
      <c r="E207" s="25"/>
    </row>
    <row r="208" spans="1:5" ht="24.95" customHeight="1" x14ac:dyDescent="0.3">
      <c r="A208" s="22"/>
      <c r="B208" s="23"/>
      <c r="C208" s="24"/>
      <c r="D208" s="25"/>
      <c r="E208" s="25"/>
    </row>
    <row r="209" spans="1:5" ht="24.95" customHeight="1" x14ac:dyDescent="0.3">
      <c r="A209" s="22"/>
      <c r="B209" s="23"/>
      <c r="C209" s="24"/>
      <c r="D209" s="25"/>
      <c r="E209" s="25"/>
    </row>
    <row r="210" spans="1:5" ht="24.95" customHeight="1" x14ac:dyDescent="0.3">
      <c r="A210" s="22"/>
      <c r="B210" s="23"/>
      <c r="C210" s="24"/>
      <c r="D210" s="25"/>
      <c r="E210" s="25"/>
    </row>
    <row r="211" spans="1:5" ht="24.95" customHeight="1" x14ac:dyDescent="0.3">
      <c r="A211" s="22"/>
      <c r="B211" s="23"/>
      <c r="C211" s="24"/>
      <c r="D211" s="25"/>
      <c r="E211" s="25"/>
    </row>
    <row r="212" spans="1:5" ht="24.95" customHeight="1" x14ac:dyDescent="0.3">
      <c r="A212" s="22"/>
      <c r="B212" s="23"/>
      <c r="C212" s="24"/>
      <c r="D212" s="25"/>
      <c r="E212" s="25"/>
    </row>
    <row r="213" spans="1:5" ht="24.95" customHeight="1" x14ac:dyDescent="0.3">
      <c r="A213" s="22"/>
      <c r="B213" s="23"/>
      <c r="C213" s="24"/>
      <c r="D213" s="25"/>
      <c r="E213" s="25"/>
    </row>
    <row r="214" spans="1:5" ht="24.95" customHeight="1" x14ac:dyDescent="0.3">
      <c r="A214" s="22"/>
      <c r="B214" s="23"/>
      <c r="C214" s="24"/>
      <c r="D214" s="25"/>
      <c r="E214" s="25"/>
    </row>
    <row r="215" spans="1:5" ht="24.95" customHeight="1" x14ac:dyDescent="0.3">
      <c r="A215" s="22"/>
      <c r="B215" s="23"/>
      <c r="C215" s="24"/>
      <c r="D215" s="25"/>
      <c r="E215" s="25"/>
    </row>
    <row r="216" spans="1:5" ht="24.95" customHeight="1" x14ac:dyDescent="0.3">
      <c r="A216" s="22"/>
      <c r="B216" s="23"/>
      <c r="C216" s="24"/>
      <c r="D216" s="25"/>
      <c r="E216" s="25"/>
    </row>
    <row r="217" spans="1:5" ht="24.95" customHeight="1" x14ac:dyDescent="0.3">
      <c r="A217" s="22"/>
      <c r="B217" s="23"/>
      <c r="C217" s="24"/>
      <c r="D217" s="25"/>
      <c r="E217" s="25"/>
    </row>
    <row r="218" spans="1:5" ht="24.95" customHeight="1" x14ac:dyDescent="0.3">
      <c r="A218" s="22"/>
      <c r="B218" s="23"/>
      <c r="C218" s="24"/>
      <c r="D218" s="25"/>
      <c r="E218" s="25"/>
    </row>
    <row r="219" spans="1:5" ht="24.95" customHeight="1" x14ac:dyDescent="0.3">
      <c r="A219" s="22"/>
      <c r="B219" s="23"/>
      <c r="C219" s="24"/>
      <c r="D219" s="25"/>
      <c r="E219" s="25"/>
    </row>
    <row r="220" spans="1:5" ht="24.95" customHeight="1" x14ac:dyDescent="0.3">
      <c r="A220" s="22"/>
      <c r="B220" s="23"/>
      <c r="C220" s="24"/>
      <c r="D220" s="25"/>
      <c r="E220" s="25"/>
    </row>
    <row r="221" spans="1:5" ht="24.95" customHeight="1" x14ac:dyDescent="0.3">
      <c r="A221" s="22"/>
      <c r="B221" s="23"/>
      <c r="C221" s="24"/>
      <c r="D221" s="25"/>
      <c r="E221" s="25"/>
    </row>
    <row r="222" spans="1:5" ht="24.95" customHeight="1" x14ac:dyDescent="0.3">
      <c r="A222" s="22"/>
      <c r="B222" s="23"/>
      <c r="C222" s="24"/>
      <c r="D222" s="25"/>
      <c r="E222" s="25"/>
    </row>
    <row r="223" spans="1:5" ht="24.95" customHeight="1" x14ac:dyDescent="0.3">
      <c r="A223" s="22"/>
      <c r="B223" s="23"/>
      <c r="C223" s="24"/>
      <c r="D223" s="25"/>
      <c r="E223" s="25"/>
    </row>
    <row r="224" spans="1:5" ht="24.95" customHeight="1" x14ac:dyDescent="0.3">
      <c r="A224" s="22"/>
      <c r="B224" s="23"/>
      <c r="C224" s="24"/>
      <c r="D224" s="25"/>
      <c r="E224" s="25"/>
    </row>
    <row r="225" spans="1:5" ht="24.95" customHeight="1" x14ac:dyDescent="0.3">
      <c r="A225" s="22"/>
      <c r="B225" s="23"/>
      <c r="C225" s="24"/>
      <c r="D225" s="25"/>
      <c r="E225" s="25"/>
    </row>
    <row r="226" spans="1:5" ht="24.95" customHeight="1" x14ac:dyDescent="0.3">
      <c r="A226" s="22"/>
      <c r="B226" s="23"/>
      <c r="C226" s="24"/>
      <c r="D226" s="25"/>
      <c r="E226" s="25"/>
    </row>
    <row r="227" spans="1:5" ht="24.95" customHeight="1" x14ac:dyDescent="0.3">
      <c r="A227" s="22"/>
      <c r="B227" s="23"/>
      <c r="C227" s="24"/>
      <c r="D227" s="25"/>
      <c r="E227" s="25"/>
    </row>
    <row r="228" spans="1:5" ht="24.95" customHeight="1" x14ac:dyDescent="0.3">
      <c r="A228" s="22"/>
      <c r="B228" s="23"/>
      <c r="C228" s="24"/>
      <c r="D228" s="25"/>
      <c r="E228" s="25"/>
    </row>
    <row r="229" spans="1:5" ht="24.95" customHeight="1" x14ac:dyDescent="0.3">
      <c r="A229" s="22"/>
      <c r="B229" s="23"/>
      <c r="C229" s="24"/>
      <c r="D229" s="25"/>
      <c r="E229" s="25"/>
    </row>
    <row r="230" spans="1:5" ht="24.95" customHeight="1" x14ac:dyDescent="0.3">
      <c r="A230" s="22"/>
      <c r="B230" s="23"/>
      <c r="C230" s="24"/>
      <c r="D230" s="25"/>
      <c r="E230" s="25"/>
    </row>
    <row r="231" spans="1:5" ht="24.95" customHeight="1" x14ac:dyDescent="0.3">
      <c r="A231" s="22"/>
      <c r="B231" s="23"/>
      <c r="C231" s="24"/>
      <c r="D231" s="25"/>
      <c r="E231" s="25"/>
    </row>
    <row r="232" spans="1:5" ht="24.95" customHeight="1" x14ac:dyDescent="0.3">
      <c r="A232" s="22"/>
      <c r="B232" s="23"/>
      <c r="C232" s="24"/>
      <c r="D232" s="25"/>
      <c r="E232" s="25"/>
    </row>
    <row r="233" spans="1:5" ht="24.95" customHeight="1" x14ac:dyDescent="0.3">
      <c r="A233" s="22"/>
      <c r="B233" s="23"/>
      <c r="C233" s="24"/>
      <c r="D233" s="25"/>
      <c r="E233" s="25"/>
    </row>
    <row r="234" spans="1:5" ht="24.95" customHeight="1" x14ac:dyDescent="0.3">
      <c r="A234" s="22"/>
      <c r="B234" s="23"/>
      <c r="C234" s="24"/>
      <c r="D234" s="25"/>
      <c r="E234" s="25"/>
    </row>
    <row r="235" spans="1:5" ht="24.95" customHeight="1" x14ac:dyDescent="0.3">
      <c r="A235" s="22"/>
      <c r="B235" s="23"/>
      <c r="C235" s="24"/>
      <c r="D235" s="25"/>
      <c r="E235" s="25"/>
    </row>
    <row r="236" spans="1:5" ht="24.95" customHeight="1" x14ac:dyDescent="0.3">
      <c r="A236" s="22"/>
      <c r="B236" s="23"/>
      <c r="C236" s="24"/>
      <c r="D236" s="25"/>
      <c r="E236" s="25"/>
    </row>
    <row r="237" spans="1:5" ht="24.95" customHeight="1" x14ac:dyDescent="0.3">
      <c r="A237" s="22"/>
      <c r="B237" s="23"/>
      <c r="C237" s="24"/>
      <c r="D237" s="25"/>
      <c r="E237" s="25"/>
    </row>
    <row r="238" spans="1:5" ht="24.95" customHeight="1" x14ac:dyDescent="0.3">
      <c r="A238" s="22"/>
      <c r="B238" s="23"/>
      <c r="C238" s="24"/>
      <c r="D238" s="25"/>
      <c r="E238" s="25"/>
    </row>
    <row r="239" spans="1:5" ht="24.95" customHeight="1" x14ac:dyDescent="0.3">
      <c r="A239" s="22"/>
      <c r="B239" s="23"/>
      <c r="C239" s="24"/>
      <c r="D239" s="25"/>
      <c r="E239" s="25"/>
    </row>
    <row r="240" spans="1:5" ht="24.95" customHeight="1" x14ac:dyDescent="0.3">
      <c r="A240" s="22"/>
      <c r="B240" s="23"/>
      <c r="C240" s="24"/>
      <c r="D240" s="25"/>
      <c r="E240" s="25"/>
    </row>
    <row r="241" spans="1:5" ht="24.95" customHeight="1" x14ac:dyDescent="0.3">
      <c r="A241" s="22"/>
      <c r="B241" s="23"/>
      <c r="C241" s="24"/>
      <c r="D241" s="25"/>
      <c r="E241" s="25"/>
    </row>
    <row r="242" spans="1:5" ht="24.95" customHeight="1" x14ac:dyDescent="0.3">
      <c r="A242" s="22"/>
      <c r="B242" s="23"/>
      <c r="C242" s="24"/>
      <c r="D242" s="25"/>
      <c r="E242" s="25"/>
    </row>
    <row r="243" spans="1:5" ht="24.95" customHeight="1" x14ac:dyDescent="0.3">
      <c r="A243" s="22"/>
      <c r="B243" s="23"/>
      <c r="C243" s="24"/>
      <c r="D243" s="25"/>
      <c r="E243" s="25"/>
    </row>
    <row r="244" spans="1:5" ht="24.95" customHeight="1" x14ac:dyDescent="0.3">
      <c r="A244" s="22"/>
      <c r="B244" s="23"/>
      <c r="C244" s="24"/>
      <c r="D244" s="25"/>
      <c r="E244" s="25"/>
    </row>
    <row r="245" spans="1:5" ht="24.95" customHeight="1" thickBot="1" x14ac:dyDescent="0.35">
      <c r="A245" s="22"/>
      <c r="B245" s="27"/>
      <c r="C245" s="24"/>
      <c r="D245" s="25"/>
      <c r="E245" s="25"/>
    </row>
  </sheetData>
  <sortState xmlns:xlrd2="http://schemas.microsoft.com/office/spreadsheetml/2017/richdata2" ref="A2:E63">
    <sortCondition ref="A2:A63"/>
  </sortState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4:M10"/>
  <sheetViews>
    <sheetView workbookViewId="0">
      <selection activeCell="C1" sqref="C1"/>
    </sheetView>
  </sheetViews>
  <sheetFormatPr defaultColWidth="10.625" defaultRowHeight="24.95" customHeight="1" x14ac:dyDescent="0.3"/>
  <cols>
    <col min="1" max="16384" width="10.625" style="1"/>
  </cols>
  <sheetData>
    <row r="4" spans="2:13" ht="24.95" customHeight="1" x14ac:dyDescent="0.3">
      <c r="B4" s="2"/>
      <c r="C4" s="3">
        <v>8</v>
      </c>
      <c r="D4" s="3">
        <v>9</v>
      </c>
      <c r="E4" s="3">
        <v>10</v>
      </c>
      <c r="F4" s="3">
        <v>12</v>
      </c>
      <c r="G4" s="3">
        <v>14</v>
      </c>
      <c r="H4" s="3">
        <v>16</v>
      </c>
      <c r="I4" s="3">
        <v>18</v>
      </c>
      <c r="J4" s="3">
        <v>20</v>
      </c>
      <c r="K4" s="3">
        <v>22</v>
      </c>
      <c r="L4" s="3"/>
      <c r="M4" s="3">
        <v>16</v>
      </c>
    </row>
    <row r="5" spans="2:13" ht="24.95" customHeight="1" x14ac:dyDescent="0.3">
      <c r="B5" s="4">
        <v>5</v>
      </c>
      <c r="C5" s="5"/>
      <c r="D5" s="5"/>
      <c r="E5" s="6">
        <f>+B5/E4</f>
        <v>0.5</v>
      </c>
      <c r="F5" s="7">
        <f>+B5/F4</f>
        <v>0.41666666666666669</v>
      </c>
      <c r="G5" s="8">
        <f>+B5/G4</f>
        <v>0.35714285714285715</v>
      </c>
      <c r="H5" s="9">
        <f>+B5/H4</f>
        <v>0.3125</v>
      </c>
      <c r="I5" s="10">
        <f>+B5/I4</f>
        <v>0.27777777777777779</v>
      </c>
      <c r="J5" s="11">
        <f>+B5/J4</f>
        <v>0.25</v>
      </c>
      <c r="K5" s="5">
        <f>+B5/K4</f>
        <v>0.22727272727272727</v>
      </c>
      <c r="L5" s="2"/>
      <c r="M5" s="2"/>
    </row>
    <row r="6" spans="2:13" ht="24.95" customHeight="1" x14ac:dyDescent="0.3">
      <c r="B6" s="4">
        <v>4</v>
      </c>
      <c r="C6" s="6">
        <f>B6/C4</f>
        <v>0.5</v>
      </c>
      <c r="D6" s="7">
        <f>+B6/D4</f>
        <v>0.44444444444444442</v>
      </c>
      <c r="E6" s="8">
        <f>+B6/E4</f>
        <v>0.4</v>
      </c>
      <c r="F6" s="9">
        <f>+B6/F4</f>
        <v>0.33333333333333331</v>
      </c>
      <c r="G6" s="10">
        <f>B6/G4</f>
        <v>0.2857142857142857</v>
      </c>
      <c r="H6" s="11">
        <f>B6/H4</f>
        <v>0.25</v>
      </c>
      <c r="I6" s="5">
        <f>B6/I4</f>
        <v>0.22222222222222221</v>
      </c>
      <c r="J6" s="5">
        <f>+B6/J4</f>
        <v>0.2</v>
      </c>
      <c r="K6" s="5">
        <f>+B6/K4</f>
        <v>0.18181818181818182</v>
      </c>
      <c r="L6" s="2"/>
      <c r="M6" s="2"/>
    </row>
    <row r="7" spans="2:13" ht="24.95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2:13" ht="24.95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2:13" ht="24.95" customHeight="1" x14ac:dyDescent="0.3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2:13" ht="24.95" customHeight="1" x14ac:dyDescent="0.3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출고요청서</vt:lpstr>
      <vt:lpstr>가락</vt:lpstr>
      <vt:lpstr>Sheet1</vt:lpstr>
      <vt:lpstr>출고요청서!Print_Area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노성택</dc:creator>
  <cp:keywords/>
  <dc:description/>
  <cp:lastModifiedBy>지은 장</cp:lastModifiedBy>
  <cp:revision/>
  <dcterms:created xsi:type="dcterms:W3CDTF">2018-05-19T14:29:45Z</dcterms:created>
  <dcterms:modified xsi:type="dcterms:W3CDTF">2026-06-25T04:22:51Z</dcterms:modified>
  <cp:category/>
  <cp:contentStatus/>
</cp:coreProperties>
</file>